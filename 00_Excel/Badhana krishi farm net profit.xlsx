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3"/>
  </bookViews>
  <sheets>
    <sheet name="Sheet1" sheetId="1" r:id="rId1"/>
    <sheet name="Sheet3" sheetId="3" r:id="rId2"/>
    <sheet name="Sheet2" sheetId="2" r:id="rId3"/>
    <sheet name="Sheet4" sheetId="4" r:id="rId4"/>
    <sheet name="Sheet5" sheetId="5" r:id="rId5"/>
  </sheets>
  <calcPr calcId="144525"/>
</workbook>
</file>

<file path=xl/calcChain.xml><?xml version="1.0" encoding="utf-8"?>
<calcChain xmlns="http://schemas.openxmlformats.org/spreadsheetml/2006/main">
  <c r="E75" i="4" l="1"/>
  <c r="E74" i="4"/>
  <c r="E73" i="4"/>
  <c r="E72" i="4"/>
  <c r="E71" i="4"/>
  <c r="D76" i="4"/>
  <c r="C76" i="4"/>
  <c r="D71" i="4"/>
  <c r="D72" i="4"/>
  <c r="D73" i="4"/>
  <c r="D74" i="4"/>
  <c r="D75" i="4"/>
  <c r="D70" i="4"/>
  <c r="B76" i="4"/>
  <c r="E97" i="4"/>
  <c r="D97" i="4"/>
  <c r="C97" i="4"/>
  <c r="B97" i="4"/>
  <c r="G81" i="4"/>
  <c r="G82" i="4"/>
  <c r="G83" i="4"/>
  <c r="G84" i="4"/>
  <c r="G85" i="4"/>
  <c r="G86" i="4" s="1"/>
  <c r="G80" i="4"/>
  <c r="E86" i="4"/>
  <c r="D86" i="4"/>
  <c r="C86" i="4"/>
  <c r="B86" i="4"/>
  <c r="F38" i="4"/>
  <c r="F37" i="4"/>
  <c r="F36" i="4"/>
  <c r="F35" i="4"/>
  <c r="F34" i="4"/>
  <c r="E34" i="4"/>
  <c r="E45" i="4" l="1"/>
  <c r="F45" i="4" s="1"/>
  <c r="F46" i="4" s="1"/>
  <c r="F47" i="4" s="1"/>
  <c r="F48" i="4" s="1"/>
  <c r="F49" i="4" s="1"/>
  <c r="F50" i="4" s="1"/>
  <c r="F51" i="4" s="1"/>
  <c r="F52" i="4" s="1"/>
  <c r="F53" i="4" s="1"/>
  <c r="E46" i="4"/>
  <c r="E47" i="4"/>
  <c r="E48" i="4"/>
  <c r="E49" i="4"/>
  <c r="E50" i="4"/>
  <c r="E51" i="4"/>
  <c r="E52" i="4"/>
  <c r="E53" i="4"/>
  <c r="E54" i="4"/>
  <c r="E44" i="4"/>
  <c r="D55" i="4"/>
  <c r="C55" i="4"/>
  <c r="E33" i="4"/>
  <c r="F33" i="4" s="1"/>
  <c r="E35" i="4"/>
  <c r="E36" i="4"/>
  <c r="E37" i="4"/>
  <c r="E38" i="4"/>
  <c r="E32" i="4"/>
  <c r="D39" i="4"/>
  <c r="C39" i="4"/>
  <c r="E18" i="4"/>
  <c r="E20" i="4"/>
  <c r="E26" i="4"/>
  <c r="E25" i="4"/>
  <c r="E24" i="4"/>
  <c r="E23" i="4"/>
  <c r="E21" i="4"/>
  <c r="E17" i="4"/>
  <c r="E16" i="4"/>
  <c r="F16" i="4" s="1"/>
  <c r="E15" i="4"/>
  <c r="M38" i="2"/>
  <c r="L38" i="2"/>
  <c r="J38" i="2"/>
  <c r="O41" i="5"/>
  <c r="K40" i="5"/>
  <c r="M40" i="5" s="1"/>
  <c r="N40" i="5" s="1"/>
  <c r="P40" i="5" s="1"/>
  <c r="K39" i="5"/>
  <c r="M39" i="5" s="1"/>
  <c r="N39" i="5" s="1"/>
  <c r="P39" i="5" s="1"/>
  <c r="K38" i="5"/>
  <c r="M38" i="5" s="1"/>
  <c r="N38" i="5" s="1"/>
  <c r="P38" i="5" s="1"/>
  <c r="K37" i="5"/>
  <c r="M37" i="5" s="1"/>
  <c r="N37" i="5" s="1"/>
  <c r="P37" i="5" s="1"/>
  <c r="K36" i="5"/>
  <c r="M36" i="5" s="1"/>
  <c r="N36" i="5" s="1"/>
  <c r="P36" i="5" s="1"/>
  <c r="M35" i="5"/>
  <c r="N35" i="5" s="1"/>
  <c r="P35" i="5" s="1"/>
  <c r="K35" i="5"/>
  <c r="E41" i="5"/>
  <c r="B41" i="5"/>
  <c r="F40" i="5"/>
  <c r="D40" i="5"/>
  <c r="F39" i="5"/>
  <c r="D39" i="5"/>
  <c r="F38" i="5"/>
  <c r="D38" i="5"/>
  <c r="G38" i="5" s="1"/>
  <c r="F37" i="5"/>
  <c r="D37" i="5"/>
  <c r="G37" i="5" s="1"/>
  <c r="F36" i="5"/>
  <c r="D36" i="5"/>
  <c r="F35" i="5"/>
  <c r="F41" i="5" s="1"/>
  <c r="D35" i="5"/>
  <c r="P30" i="5"/>
  <c r="O30" i="5"/>
  <c r="P25" i="5"/>
  <c r="P27" i="5"/>
  <c r="P28" i="5"/>
  <c r="P29" i="5"/>
  <c r="P24" i="5"/>
  <c r="N25" i="5"/>
  <c r="N27" i="5"/>
  <c r="N28" i="5"/>
  <c r="N29" i="5"/>
  <c r="N24" i="5"/>
  <c r="M25" i="5"/>
  <c r="M27" i="5"/>
  <c r="M28" i="5"/>
  <c r="M29" i="5"/>
  <c r="M24" i="5"/>
  <c r="K25" i="5"/>
  <c r="K26" i="5"/>
  <c r="M26" i="5" s="1"/>
  <c r="N26" i="5" s="1"/>
  <c r="P26" i="5" s="1"/>
  <c r="K27" i="5"/>
  <c r="K28" i="5"/>
  <c r="K29" i="5"/>
  <c r="K24" i="5"/>
  <c r="E30" i="5"/>
  <c r="B30" i="5"/>
  <c r="F29" i="5"/>
  <c r="D29" i="5"/>
  <c r="F28" i="5"/>
  <c r="D28" i="5"/>
  <c r="F27" i="5"/>
  <c r="D27" i="5"/>
  <c r="F26" i="5"/>
  <c r="D26" i="5"/>
  <c r="G26" i="5" s="1"/>
  <c r="F25" i="5"/>
  <c r="D25" i="5"/>
  <c r="F24" i="5"/>
  <c r="F30" i="5" s="1"/>
  <c r="D24" i="5"/>
  <c r="P15" i="5"/>
  <c r="P16" i="5"/>
  <c r="P17" i="5"/>
  <c r="P18" i="5"/>
  <c r="P14" i="5"/>
  <c r="O20" i="5"/>
  <c r="G50" i="2"/>
  <c r="G44" i="2"/>
  <c r="G45" i="2"/>
  <c r="G46" i="2"/>
  <c r="G47" i="2"/>
  <c r="G48" i="2"/>
  <c r="G43" i="2"/>
  <c r="E49" i="2"/>
  <c r="C44" i="2"/>
  <c r="C45" i="2"/>
  <c r="C46" i="2"/>
  <c r="C47" i="2"/>
  <c r="C48" i="2"/>
  <c r="C43" i="2"/>
  <c r="M37" i="2"/>
  <c r="L37" i="2"/>
  <c r="J36" i="2"/>
  <c r="L36" i="2" s="1"/>
  <c r="M36" i="2" s="1"/>
  <c r="J37" i="2"/>
  <c r="J24" i="2"/>
  <c r="J23" i="2"/>
  <c r="S14" i="2"/>
  <c r="S15" i="2"/>
  <c r="S16" i="2"/>
  <c r="S17" i="2"/>
  <c r="S18" i="2"/>
  <c r="R14" i="2"/>
  <c r="R15" i="2"/>
  <c r="R16" i="2"/>
  <c r="R17" i="2"/>
  <c r="R18" i="2"/>
  <c r="Q14" i="2"/>
  <c r="Q15" i="2"/>
  <c r="Q16" i="2"/>
  <c r="Q17" i="2"/>
  <c r="Q18" i="2"/>
  <c r="Q13" i="2"/>
  <c r="O14" i="2"/>
  <c r="O15" i="2"/>
  <c r="O16" i="2"/>
  <c r="O17" i="2"/>
  <c r="O18" i="2"/>
  <c r="O13" i="2"/>
  <c r="E39" i="4" l="1"/>
  <c r="E27" i="4"/>
  <c r="F17" i="4"/>
  <c r="F18" i="4" s="1"/>
  <c r="F20" i="4" s="1"/>
  <c r="F21" i="4" s="1"/>
  <c r="G40" i="5"/>
  <c r="G39" i="5"/>
  <c r="G36" i="5"/>
  <c r="D41" i="5"/>
  <c r="P41" i="5"/>
  <c r="G35" i="5"/>
  <c r="G41" i="5" s="1"/>
  <c r="G29" i="5"/>
  <c r="G28" i="5"/>
  <c r="G27" i="5"/>
  <c r="G25" i="5"/>
  <c r="D30" i="5"/>
  <c r="G24" i="5"/>
  <c r="B9" i="5"/>
  <c r="J14" i="2"/>
  <c r="J15" i="2"/>
  <c r="J16" i="2"/>
  <c r="J17" i="2"/>
  <c r="J18" i="2"/>
  <c r="F23" i="4" l="1"/>
  <c r="F24" i="4" s="1"/>
  <c r="F25" i="4" s="1"/>
  <c r="F26" i="4" s="1"/>
  <c r="G30" i="5"/>
  <c r="L16" i="2"/>
  <c r="L17" i="2"/>
  <c r="L18" i="2"/>
  <c r="N15" i="5"/>
  <c r="N14" i="5"/>
  <c r="M15" i="5"/>
  <c r="M14" i="5"/>
  <c r="K15" i="5"/>
  <c r="K16" i="5"/>
  <c r="M16" i="5" s="1"/>
  <c r="N16" i="5" s="1"/>
  <c r="K17" i="5"/>
  <c r="M17" i="5" s="1"/>
  <c r="N17" i="5" s="1"/>
  <c r="K18" i="5"/>
  <c r="M18" i="5" s="1"/>
  <c r="N18" i="5" s="1"/>
  <c r="K19" i="5"/>
  <c r="M19" i="5" s="1"/>
  <c r="N19" i="5" s="1"/>
  <c r="P19" i="5" s="1"/>
  <c r="K14" i="5"/>
  <c r="E20" i="5"/>
  <c r="B20" i="5"/>
  <c r="F19" i="5"/>
  <c r="D19" i="5"/>
  <c r="F18" i="5"/>
  <c r="D18" i="5"/>
  <c r="F17" i="5"/>
  <c r="D17" i="5"/>
  <c r="F16" i="5"/>
  <c r="D16" i="5"/>
  <c r="F15" i="5"/>
  <c r="G15" i="5" s="1"/>
  <c r="D15" i="5"/>
  <c r="F14" i="5"/>
  <c r="D14" i="5"/>
  <c r="D10" i="4"/>
  <c r="E6" i="4"/>
  <c r="E7" i="4"/>
  <c r="E8" i="4"/>
  <c r="E9" i="4"/>
  <c r="E5" i="4"/>
  <c r="E4" i="4"/>
  <c r="F4" i="4" s="1"/>
  <c r="E3" i="4"/>
  <c r="D5" i="5"/>
  <c r="C10" i="4"/>
  <c r="P3" i="5"/>
  <c r="K5" i="5"/>
  <c r="K6" i="5"/>
  <c r="M6" i="5" s="1"/>
  <c r="N6" i="5" s="1"/>
  <c r="P6" i="5" s="1"/>
  <c r="K7" i="5"/>
  <c r="M7" i="5" s="1"/>
  <c r="N7" i="5" s="1"/>
  <c r="P7" i="5" s="1"/>
  <c r="K8" i="5"/>
  <c r="M8" i="5" s="1"/>
  <c r="N8" i="5" s="1"/>
  <c r="P8" i="5" s="1"/>
  <c r="K4" i="5"/>
  <c r="M4" i="5" s="1"/>
  <c r="N4" i="5" s="1"/>
  <c r="P4" i="5" s="1"/>
  <c r="N3" i="5"/>
  <c r="M5" i="5"/>
  <c r="N5" i="5" s="1"/>
  <c r="P5" i="5" s="1"/>
  <c r="M3" i="5"/>
  <c r="E9" i="5"/>
  <c r="F8" i="5"/>
  <c r="D8" i="5"/>
  <c r="F7" i="5"/>
  <c r="D7" i="5"/>
  <c r="F6" i="5"/>
  <c r="D6" i="5"/>
  <c r="F5" i="5"/>
  <c r="F4" i="5"/>
  <c r="D4" i="5"/>
  <c r="F3" i="5"/>
  <c r="D3" i="5"/>
  <c r="R7" i="3"/>
  <c r="S4" i="3"/>
  <c r="S5" i="3"/>
  <c r="S3" i="3"/>
  <c r="P3" i="3"/>
  <c r="G19" i="5" l="1"/>
  <c r="P20" i="5"/>
  <c r="G17" i="5"/>
  <c r="F20" i="5"/>
  <c r="G16" i="5"/>
  <c r="G18" i="5"/>
  <c r="D20" i="5"/>
  <c r="G8" i="5"/>
  <c r="G7" i="5"/>
  <c r="G6" i="5"/>
  <c r="G5" i="5"/>
  <c r="F9" i="5"/>
  <c r="G4" i="5"/>
  <c r="G14" i="5"/>
  <c r="E10" i="4"/>
  <c r="F5" i="4"/>
  <c r="F6" i="4" s="1"/>
  <c r="F7" i="4" s="1"/>
  <c r="F8" i="4" s="1"/>
  <c r="F9" i="4" s="1"/>
  <c r="D9" i="5"/>
  <c r="P9" i="5"/>
  <c r="G3" i="5"/>
  <c r="G9" i="5" s="1"/>
  <c r="P4" i="3"/>
  <c r="Q4" i="3" s="1"/>
  <c r="P5" i="3"/>
  <c r="Q5" i="3" s="1"/>
  <c r="P6" i="3"/>
  <c r="Q6" i="3" s="1"/>
  <c r="Q3" i="3"/>
  <c r="K4" i="3"/>
  <c r="K5" i="3"/>
  <c r="K6" i="3"/>
  <c r="K3" i="3"/>
  <c r="I4" i="3"/>
  <c r="I5" i="3"/>
  <c r="I6" i="3"/>
  <c r="I3" i="3"/>
  <c r="O24" i="2"/>
  <c r="Q24" i="2" s="1"/>
  <c r="O23" i="2"/>
  <c r="Q23" i="2" s="1"/>
  <c r="O4" i="2"/>
  <c r="Q4" i="2" s="1"/>
  <c r="O3" i="2"/>
  <c r="Q3" i="2" s="1"/>
  <c r="J34" i="2"/>
  <c r="L34" i="2" s="1"/>
  <c r="M34" i="2" s="1"/>
  <c r="J35" i="2"/>
  <c r="L35" i="2" s="1"/>
  <c r="M35" i="2" s="1"/>
  <c r="J33" i="2"/>
  <c r="L33" i="2" s="1"/>
  <c r="M33" i="2" s="1"/>
  <c r="L24" i="2"/>
  <c r="L23" i="2"/>
  <c r="L14" i="2"/>
  <c r="L15" i="2"/>
  <c r="J13" i="2"/>
  <c r="L13" i="2" s="1"/>
  <c r="R13" i="2" s="1"/>
  <c r="S13" i="2" s="1"/>
  <c r="J4" i="2"/>
  <c r="L4" i="2" s="1"/>
  <c r="J3" i="2"/>
  <c r="L3" i="2" s="1"/>
  <c r="D7" i="2"/>
  <c r="F3" i="2"/>
  <c r="D3" i="2"/>
  <c r="G20" i="5" l="1"/>
  <c r="Q7" i="3"/>
  <c r="S6" i="3"/>
  <c r="R24" i="2"/>
  <c r="S24" i="2" s="1"/>
  <c r="R4" i="2"/>
  <c r="S4" i="2" s="1"/>
  <c r="T4" i="2" s="1"/>
  <c r="R3" i="2"/>
  <c r="S3" i="2" s="1"/>
  <c r="T3" i="2" s="1"/>
  <c r="G3" i="2"/>
  <c r="R23" i="2"/>
  <c r="S23" i="2" s="1"/>
  <c r="C49" i="2"/>
  <c r="E39" i="2"/>
  <c r="E29" i="2"/>
  <c r="E19" i="2"/>
  <c r="B49" i="2"/>
  <c r="F38" i="2"/>
  <c r="G38" i="2" s="1"/>
  <c r="D38" i="2"/>
  <c r="F37" i="2"/>
  <c r="D37" i="2"/>
  <c r="F36" i="2"/>
  <c r="D36" i="2"/>
  <c r="F35" i="2"/>
  <c r="D35" i="2"/>
  <c r="G35" i="2" s="1"/>
  <c r="F34" i="2"/>
  <c r="D34" i="2"/>
  <c r="F33" i="2"/>
  <c r="F39" i="2" s="1"/>
  <c r="D33" i="2"/>
  <c r="G33" i="2" s="1"/>
  <c r="F28" i="2"/>
  <c r="D28" i="2"/>
  <c r="F27" i="2"/>
  <c r="D27" i="2"/>
  <c r="G27" i="2" s="1"/>
  <c r="F26" i="2"/>
  <c r="D26" i="2"/>
  <c r="F25" i="2"/>
  <c r="D25" i="2"/>
  <c r="F24" i="2"/>
  <c r="D24" i="2"/>
  <c r="F23" i="2"/>
  <c r="F29" i="2" s="1"/>
  <c r="D23" i="2"/>
  <c r="D29" i="2" s="1"/>
  <c r="F14" i="2"/>
  <c r="F15" i="2"/>
  <c r="F16" i="2"/>
  <c r="F17" i="2"/>
  <c r="F18" i="2"/>
  <c r="F13" i="2"/>
  <c r="D18" i="2"/>
  <c r="D17" i="2"/>
  <c r="G17" i="2" s="1"/>
  <c r="D16" i="2"/>
  <c r="D15" i="2"/>
  <c r="G15" i="2" s="1"/>
  <c r="D14" i="2"/>
  <c r="G14" i="2" s="1"/>
  <c r="D13" i="2"/>
  <c r="F4" i="2"/>
  <c r="F5" i="2"/>
  <c r="F6" i="2"/>
  <c r="F7" i="2"/>
  <c r="G7" i="2" s="1"/>
  <c r="F8" i="2"/>
  <c r="E9" i="2"/>
  <c r="B39" i="2"/>
  <c r="B29" i="2"/>
  <c r="B19" i="2"/>
  <c r="D4" i="2"/>
  <c r="G4" i="2" s="1"/>
  <c r="D5" i="2"/>
  <c r="G5" i="2" s="1"/>
  <c r="D6" i="2"/>
  <c r="G6" i="2" s="1"/>
  <c r="D8" i="2"/>
  <c r="G8" i="2" s="1"/>
  <c r="B9" i="2"/>
  <c r="G16" i="2" l="1"/>
  <c r="G18" i="2"/>
  <c r="D19" i="2"/>
  <c r="G25" i="2"/>
  <c r="G26" i="2"/>
  <c r="G28" i="2"/>
  <c r="F9" i="2"/>
  <c r="G13" i="2"/>
  <c r="D9" i="2"/>
  <c r="G34" i="2"/>
  <c r="G36" i="2"/>
  <c r="D39" i="2"/>
  <c r="G24" i="2"/>
  <c r="G37" i="2"/>
  <c r="F19" i="2"/>
  <c r="G19" i="2" s="1"/>
  <c r="G9" i="2"/>
  <c r="G23" i="2"/>
  <c r="G27" i="1"/>
  <c r="H27" i="1" s="1"/>
  <c r="J27" i="1" s="1"/>
  <c r="M27" i="1" s="1"/>
  <c r="G29" i="1"/>
  <c r="H29" i="1" s="1"/>
  <c r="J29" i="1" s="1"/>
  <c r="M29" i="1" s="1"/>
  <c r="F26" i="1"/>
  <c r="F27" i="1"/>
  <c r="F28" i="1"/>
  <c r="F29" i="1"/>
  <c r="F30" i="1"/>
  <c r="F25" i="1"/>
  <c r="F31" i="1" s="1"/>
  <c r="D27" i="1"/>
  <c r="I27" i="1" s="1"/>
  <c r="D29" i="1"/>
  <c r="I29" i="1" s="1"/>
  <c r="C31" i="1"/>
  <c r="C26" i="1"/>
  <c r="C27" i="1"/>
  <c r="C28" i="1"/>
  <c r="C29" i="1"/>
  <c r="C30" i="1"/>
  <c r="C25" i="1"/>
  <c r="B30" i="1"/>
  <c r="D30" i="1" s="1"/>
  <c r="I30" i="1" s="1"/>
  <c r="B26" i="1"/>
  <c r="G26" i="1" s="1"/>
  <c r="H26" i="1" s="1"/>
  <c r="J26" i="1" s="1"/>
  <c r="M26" i="1" s="1"/>
  <c r="B27" i="1"/>
  <c r="B28" i="1"/>
  <c r="G28" i="1" s="1"/>
  <c r="H28" i="1" s="1"/>
  <c r="J28" i="1" s="1"/>
  <c r="M28" i="1" s="1"/>
  <c r="B29" i="1"/>
  <c r="B25" i="1"/>
  <c r="D25" i="1" s="1"/>
  <c r="G20" i="1"/>
  <c r="G15" i="1"/>
  <c r="G16" i="1"/>
  <c r="G17" i="1"/>
  <c r="G18" i="1"/>
  <c r="G19" i="1"/>
  <c r="G14" i="1"/>
  <c r="F20" i="1"/>
  <c r="F9" i="1"/>
  <c r="G7" i="1"/>
  <c r="G6" i="1"/>
  <c r="G5" i="1"/>
  <c r="G4" i="1"/>
  <c r="G3" i="1"/>
  <c r="G8" i="1"/>
  <c r="G39" i="2" l="1"/>
  <c r="G29" i="2"/>
  <c r="D28" i="1"/>
  <c r="I28" i="1" s="1"/>
  <c r="G30" i="1"/>
  <c r="H30" i="1" s="1"/>
  <c r="J30" i="1" s="1"/>
  <c r="M30" i="1" s="1"/>
  <c r="D26" i="1"/>
  <c r="I26" i="1" s="1"/>
  <c r="B31" i="1"/>
  <c r="D31" i="1" s="1"/>
  <c r="G25" i="1"/>
  <c r="E20" i="1"/>
  <c r="D20" i="1"/>
  <c r="C20" i="1"/>
  <c r="B20" i="1"/>
  <c r="E9" i="1"/>
  <c r="D9" i="1"/>
  <c r="C9" i="1"/>
  <c r="B9" i="1"/>
  <c r="G9" i="1" s="1"/>
  <c r="G31" i="1" l="1"/>
  <c r="H31" i="1" s="1"/>
  <c r="L26" i="1"/>
  <c r="I25" i="1" s="1"/>
  <c r="H25" i="1"/>
  <c r="J25" i="1" s="1"/>
  <c r="I31" i="1" l="1"/>
  <c r="M25" i="1"/>
  <c r="M31" i="1" s="1"/>
  <c r="J31" i="1"/>
  <c r="G91" i="4"/>
  <c r="G96" i="4"/>
  <c r="G92" i="4"/>
  <c r="G94" i="4"/>
  <c r="G93" i="4"/>
  <c r="G95" i="4"/>
  <c r="G97" i="4" l="1"/>
</calcChain>
</file>

<file path=xl/sharedStrings.xml><?xml version="1.0" encoding="utf-8"?>
<sst xmlns="http://schemas.openxmlformats.org/spreadsheetml/2006/main" count="547" uniqueCount="134">
  <si>
    <t>TOTAL</t>
  </si>
  <si>
    <t>Years</t>
  </si>
  <si>
    <t>1st</t>
  </si>
  <si>
    <t>2nd</t>
  </si>
  <si>
    <t>3rd</t>
  </si>
  <si>
    <t>4th</t>
  </si>
  <si>
    <t>5th</t>
  </si>
  <si>
    <t>6th</t>
  </si>
  <si>
    <t>Plot B</t>
  </si>
  <si>
    <t>Plot C</t>
  </si>
  <si>
    <t>PlotD</t>
  </si>
  <si>
    <t>Plot E</t>
  </si>
  <si>
    <t>Total</t>
  </si>
  <si>
    <t>Boundary</t>
  </si>
  <si>
    <t>Net income</t>
  </si>
  <si>
    <t>Gross Income</t>
  </si>
  <si>
    <t>Oprection Ex.</t>
  </si>
  <si>
    <t>Plant cost</t>
  </si>
  <si>
    <t>Ex.</t>
  </si>
  <si>
    <t>Net Income</t>
  </si>
  <si>
    <t>H 25%</t>
  </si>
  <si>
    <t>Plot D</t>
  </si>
  <si>
    <t>Mounth</t>
  </si>
  <si>
    <t>Bigha</t>
  </si>
  <si>
    <t>Area(Bigha)</t>
  </si>
  <si>
    <t>Year/Bigha</t>
  </si>
  <si>
    <t>Gros Income</t>
  </si>
  <si>
    <t>Gros income</t>
  </si>
  <si>
    <t>Ex</t>
  </si>
  <si>
    <t>N0.Of plant</t>
  </si>
  <si>
    <t>Per Plant</t>
  </si>
  <si>
    <t>Per plant</t>
  </si>
  <si>
    <t>C</t>
  </si>
  <si>
    <t>Price</t>
  </si>
  <si>
    <t>Flower</t>
  </si>
  <si>
    <t>Amount</t>
  </si>
  <si>
    <t>Kg/ Bigha</t>
  </si>
  <si>
    <t>Kg/bigha</t>
  </si>
  <si>
    <t>Net profit</t>
  </si>
  <si>
    <t>Gross in./ Bigha</t>
  </si>
  <si>
    <t>Ex./bigha</t>
  </si>
  <si>
    <t xml:space="preserve"> Total  Ex.</t>
  </si>
  <si>
    <t>Net Profit</t>
  </si>
  <si>
    <t>Duration</t>
  </si>
  <si>
    <t>Total Area</t>
  </si>
  <si>
    <t>Total/Bigha</t>
  </si>
  <si>
    <t>Year/Kg</t>
  </si>
  <si>
    <t>S.NO.</t>
  </si>
  <si>
    <t>Name Of Seed</t>
  </si>
  <si>
    <t>Plot No.</t>
  </si>
  <si>
    <t>Area Acres</t>
  </si>
  <si>
    <t>Qty</t>
  </si>
  <si>
    <t>Rate</t>
  </si>
  <si>
    <t>Irani Akarkra Seed</t>
  </si>
  <si>
    <t>B</t>
  </si>
  <si>
    <t xml:space="preserve"> 12 KG </t>
  </si>
  <si>
    <t>Ashwagandha Seed</t>
  </si>
  <si>
    <t>20 KG</t>
  </si>
  <si>
    <t>Kalmegh Seed</t>
  </si>
  <si>
    <t>D</t>
  </si>
  <si>
    <t>8 KG</t>
  </si>
  <si>
    <t>Stevia Plants</t>
  </si>
  <si>
    <t>E</t>
  </si>
  <si>
    <t>Harvasting</t>
  </si>
  <si>
    <t>Manure</t>
  </si>
  <si>
    <t>Total Ex.</t>
  </si>
  <si>
    <t>Land Pation</t>
  </si>
  <si>
    <t>Stivea</t>
  </si>
  <si>
    <t>2 bigha</t>
  </si>
  <si>
    <t>3+1</t>
  </si>
  <si>
    <t>20 otl</t>
  </si>
  <si>
    <t>300+500 = 800</t>
  </si>
  <si>
    <t>Per bigha</t>
  </si>
  <si>
    <t>Akark. Roots</t>
  </si>
  <si>
    <t>Spray</t>
  </si>
  <si>
    <t>Plot No. B</t>
  </si>
  <si>
    <t>Plot Size 3.26 Acres</t>
  </si>
  <si>
    <t>Year</t>
  </si>
  <si>
    <t>Crop</t>
  </si>
  <si>
    <t>Operating Ex.</t>
  </si>
  <si>
    <t xml:space="preserve">Cumulative </t>
  </si>
  <si>
    <r>
      <t>1</t>
    </r>
    <r>
      <rPr>
        <vertAlign val="superscript"/>
        <sz val="12"/>
        <color rgb="FF0000FF"/>
        <rFont val="Arial"/>
        <family val="2"/>
      </rPr>
      <t>st</t>
    </r>
  </si>
  <si>
    <t>Irani Akarkara</t>
  </si>
  <si>
    <r>
      <t>2</t>
    </r>
    <r>
      <rPr>
        <vertAlign val="superscript"/>
        <sz val="12"/>
        <color rgb="FF0000FF"/>
        <rFont val="Arial"/>
        <family val="2"/>
      </rPr>
      <t>nd</t>
    </r>
  </si>
  <si>
    <t>Lemon(Baramasi)</t>
  </si>
  <si>
    <r>
      <t>3</t>
    </r>
    <r>
      <rPr>
        <vertAlign val="superscript"/>
        <sz val="12"/>
        <color rgb="FF0000FF"/>
        <rFont val="Arial"/>
        <family val="2"/>
      </rPr>
      <t>rd</t>
    </r>
  </si>
  <si>
    <r>
      <t>4</t>
    </r>
    <r>
      <rPr>
        <vertAlign val="superscript"/>
        <sz val="12"/>
        <color rgb="FF0000FF"/>
        <rFont val="Arial"/>
        <family val="2"/>
      </rPr>
      <t>th</t>
    </r>
  </si>
  <si>
    <r>
      <t>5</t>
    </r>
    <r>
      <rPr>
        <vertAlign val="superscript"/>
        <sz val="12"/>
        <color rgb="FF0000FF"/>
        <rFont val="Arial"/>
        <family val="2"/>
      </rPr>
      <t>th</t>
    </r>
  </si>
  <si>
    <r>
      <t>6</t>
    </r>
    <r>
      <rPr>
        <vertAlign val="superscript"/>
        <sz val="12"/>
        <color rgb="FF0000FF"/>
        <rFont val="Arial"/>
        <family val="2"/>
      </rPr>
      <t>th</t>
    </r>
  </si>
  <si>
    <t>Plot No. C</t>
  </si>
  <si>
    <t>Plot Size 4.73 Acres</t>
  </si>
  <si>
    <t>Mango</t>
  </si>
  <si>
    <t xml:space="preserve"> (Amarpali-Malika)</t>
  </si>
  <si>
    <t>Mango (Amarpali_Malika)</t>
  </si>
  <si>
    <t>Plot No. D</t>
  </si>
  <si>
    <t>Plot Size 4.75 Acres</t>
  </si>
  <si>
    <t xml:space="preserve">Ashwagandha </t>
  </si>
  <si>
    <t>Guava (Tivan pink)</t>
  </si>
  <si>
    <t>Plot No. E</t>
  </si>
  <si>
    <t>Plot Size 3.51 Acres</t>
  </si>
  <si>
    <t>Kalmegh</t>
  </si>
  <si>
    <t>Nakha (Babugosha)</t>
  </si>
  <si>
    <t>Boundary 38.50 Acres</t>
  </si>
  <si>
    <t>Malabar Neem</t>
  </si>
  <si>
    <t>Malabaar Neem</t>
  </si>
  <si>
    <t>1,20,00000</t>
  </si>
  <si>
    <t>8,00,000</t>
  </si>
  <si>
    <t> 1,12,00,000</t>
  </si>
  <si>
    <t>DPR Ex.</t>
  </si>
  <si>
    <t>Defrance</t>
  </si>
  <si>
    <t>Gross inc./ Bigha</t>
  </si>
  <si>
    <t>Seeds</t>
  </si>
  <si>
    <t>Lemon</t>
  </si>
  <si>
    <t>No of plant</t>
  </si>
  <si>
    <t>Pro./plant</t>
  </si>
  <si>
    <t>Akarkara</t>
  </si>
  <si>
    <t>Stevia</t>
  </si>
  <si>
    <t>Ashwandha</t>
  </si>
  <si>
    <t>Kg/Bigha</t>
  </si>
  <si>
    <t>Kalmegh Panchag</t>
  </si>
  <si>
    <t>Guava</t>
  </si>
  <si>
    <t>Nakh</t>
  </si>
  <si>
    <t>`</t>
  </si>
  <si>
    <t>4h</t>
  </si>
  <si>
    <t>Crop/year</t>
  </si>
  <si>
    <t>Crop/Year</t>
  </si>
  <si>
    <t>Crop/tear</t>
  </si>
  <si>
    <t>Stevia Plant</t>
  </si>
  <si>
    <r>
      <t>1</t>
    </r>
    <r>
      <rPr>
        <vertAlign val="superscript"/>
        <sz val="14"/>
        <color rgb="FF0000FF"/>
        <rFont val="Cambria"/>
        <family val="1"/>
        <scheme val="major"/>
      </rPr>
      <t>st</t>
    </r>
  </si>
  <si>
    <r>
      <t>2</t>
    </r>
    <r>
      <rPr>
        <vertAlign val="superscript"/>
        <sz val="14"/>
        <color rgb="FF0000FF"/>
        <rFont val="Cambria"/>
        <family val="1"/>
        <scheme val="major"/>
      </rPr>
      <t>nd</t>
    </r>
  </si>
  <si>
    <r>
      <t>3</t>
    </r>
    <r>
      <rPr>
        <vertAlign val="superscript"/>
        <sz val="14"/>
        <color rgb="FF0000FF"/>
        <rFont val="Cambria"/>
        <family val="1"/>
        <scheme val="major"/>
      </rPr>
      <t>rd</t>
    </r>
  </si>
  <si>
    <r>
      <t>4</t>
    </r>
    <r>
      <rPr>
        <vertAlign val="superscript"/>
        <sz val="14"/>
        <color rgb="FF0000FF"/>
        <rFont val="Cambria"/>
        <family val="1"/>
        <scheme val="major"/>
      </rPr>
      <t>th</t>
    </r>
  </si>
  <si>
    <r>
      <t>5</t>
    </r>
    <r>
      <rPr>
        <vertAlign val="superscript"/>
        <sz val="14"/>
        <color rgb="FF0000FF"/>
        <rFont val="Cambria"/>
        <family val="1"/>
        <scheme val="major"/>
      </rPr>
      <t>th</t>
    </r>
  </si>
  <si>
    <r>
      <t>6</t>
    </r>
    <r>
      <rPr>
        <vertAlign val="superscript"/>
        <sz val="14"/>
        <color rgb="FF0000FF"/>
        <rFont val="Cambria"/>
        <family val="1"/>
        <scheme val="major"/>
      </rPr>
      <t>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</si>
</sst>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70C0"/>
      <name val="Calibri"/>
      <family val="2"/>
      <scheme val="minor"/>
    </font>
    <font>
      <sz val="14"/>
      <color rgb="FF0E05BB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sz val="14"/>
      <color rgb="FF0E05BB"/>
      <name val="Cambria"/>
      <family val="1"/>
      <scheme val="major"/>
    </font>
    <font>
      <sz val="12"/>
      <color rgb="FF0000FF"/>
      <name val="Arial"/>
      <family val="2"/>
    </font>
    <font>
      <vertAlign val="superscript"/>
      <sz val="12"/>
      <color rgb="FF0000FF"/>
      <name val="Arial"/>
      <family val="2"/>
    </font>
    <font>
      <sz val="14"/>
      <name val="Cambria"/>
      <family val="1"/>
      <scheme val="major"/>
    </font>
    <font>
      <sz val="12"/>
      <color rgb="FF0E05BB"/>
      <name val="Calibri"/>
      <family val="2"/>
      <scheme val="minor"/>
    </font>
    <font>
      <sz val="11"/>
      <color rgb="FF0E05BB"/>
      <name val="Calibri"/>
      <family val="2"/>
      <scheme val="minor"/>
    </font>
    <font>
      <sz val="11"/>
      <color rgb="FF0000CC"/>
      <name val="Calibri"/>
      <family val="2"/>
      <scheme val="minor"/>
    </font>
    <font>
      <sz val="14"/>
      <color rgb="FF0B048E"/>
      <name val="Calibri"/>
      <family val="2"/>
      <scheme val="minor"/>
    </font>
    <font>
      <sz val="14"/>
      <color theme="1"/>
      <name val="Cambria"/>
      <family val="1"/>
      <scheme val="major"/>
    </font>
    <font>
      <sz val="14"/>
      <color rgb="FF0000FF"/>
      <name val="Cambria"/>
      <family val="1"/>
      <scheme val="major"/>
    </font>
    <font>
      <vertAlign val="superscript"/>
      <sz val="14"/>
      <color rgb="FF0000FF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0" borderId="4" xfId="0" applyFont="1" applyBorder="1"/>
    <xf numFmtId="0" fontId="1" fillId="0" borderId="0" xfId="0" applyFont="1"/>
    <xf numFmtId="0" fontId="1" fillId="2" borderId="0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2" fillId="0" borderId="4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/>
    <xf numFmtId="9" fontId="1" fillId="0" borderId="1" xfId="0" applyNumberFormat="1" applyFont="1" applyBorder="1" applyAlignment="1">
      <alignment horizontal="center"/>
    </xf>
    <xf numFmtId="0" fontId="3" fillId="0" borderId="1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1" fontId="3" fillId="0" borderId="0" xfId="0" applyNumberFormat="1" applyFont="1" applyBorder="1"/>
    <xf numFmtId="0" fontId="3" fillId="0" borderId="0" xfId="0" applyFont="1" applyFill="1" applyBorder="1" applyAlignment="1">
      <alignment horizontal="center"/>
    </xf>
    <xf numFmtId="0" fontId="3" fillId="0" borderId="0" xfId="0" applyFont="1"/>
    <xf numFmtId="0" fontId="1" fillId="0" borderId="1" xfId="0" applyFont="1" applyFill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/>
    <xf numFmtId="0" fontId="4" fillId="0" borderId="0" xfId="0" applyFont="1"/>
    <xf numFmtId="0" fontId="3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1" fillId="0" borderId="0" xfId="0" applyFont="1" applyBorder="1" applyAlignment="1">
      <alignment horizontal="center"/>
    </xf>
    <xf numFmtId="0" fontId="0" fillId="0" borderId="0" xfId="0" applyBorder="1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/>
    <xf numFmtId="0" fontId="5" fillId="0" borderId="1" xfId="0" applyFont="1" applyBorder="1"/>
    <xf numFmtId="1" fontId="4" fillId="0" borderId="1" xfId="0" applyNumberFormat="1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7" xfId="0" applyFont="1" applyBorder="1"/>
    <xf numFmtId="0" fontId="5" fillId="0" borderId="0" xfId="0" applyFont="1"/>
    <xf numFmtId="0" fontId="4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3" fillId="0" borderId="3" xfId="0" applyFont="1" applyBorder="1"/>
    <xf numFmtId="0" fontId="1" fillId="0" borderId="7" xfId="0" applyFont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3" fillId="0" borderId="2" xfId="0" applyFont="1" applyBorder="1"/>
    <xf numFmtId="0" fontId="0" fillId="0" borderId="2" xfId="0" applyBorder="1"/>
    <xf numFmtId="0" fontId="1" fillId="0" borderId="8" xfId="0" applyFont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0" fontId="4" fillId="0" borderId="0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" fontId="3" fillId="0" borderId="1" xfId="0" applyNumberFormat="1" applyFont="1" applyBorder="1"/>
    <xf numFmtId="0" fontId="0" fillId="0" borderId="0" xfId="0" applyAlignment="1">
      <alignment horizontal="center"/>
    </xf>
    <xf numFmtId="0" fontId="7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1" fillId="0" borderId="1" xfId="0" applyFont="1" applyFill="1" applyBorder="1"/>
    <xf numFmtId="9" fontId="3" fillId="0" borderId="0" xfId="0" applyNumberFormat="1" applyFont="1" applyBorder="1"/>
    <xf numFmtId="9" fontId="3" fillId="0" borderId="0" xfId="0" applyNumberFormat="1" applyFont="1"/>
    <xf numFmtId="0" fontId="1" fillId="0" borderId="7" xfId="0" applyFont="1" applyBorder="1"/>
    <xf numFmtId="0" fontId="3" fillId="0" borderId="19" xfId="0" applyFont="1" applyFill="1" applyBorder="1"/>
    <xf numFmtId="0" fontId="7" fillId="0" borderId="14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1" fillId="0" borderId="0" xfId="0" applyFont="1"/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2" fillId="0" borderId="0" xfId="0" applyFont="1"/>
    <xf numFmtId="0" fontId="3" fillId="0" borderId="13" xfId="0" applyFont="1" applyBorder="1" applyAlignment="1">
      <alignment vertical="center"/>
    </xf>
    <xf numFmtId="0" fontId="13" fillId="0" borderId="1" xfId="0" applyFont="1" applyBorder="1"/>
    <xf numFmtId="0" fontId="6" fillId="0" borderId="15" xfId="0" applyFont="1" applyBorder="1" applyAlignment="1">
      <alignment vertical="center"/>
    </xf>
    <xf numFmtId="0" fontId="14" fillId="0" borderId="1" xfId="0" applyFont="1" applyBorder="1" applyAlignment="1">
      <alignment horizontal="center"/>
    </xf>
    <xf numFmtId="0" fontId="15" fillId="0" borderId="21" xfId="0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0" fontId="15" fillId="0" borderId="13" xfId="0" applyFont="1" applyBorder="1" applyAlignment="1">
      <alignment vertical="center"/>
    </xf>
    <xf numFmtId="0" fontId="15" fillId="0" borderId="14" xfId="0" applyFont="1" applyBorder="1" applyAlignment="1">
      <alignment vertical="center"/>
    </xf>
    <xf numFmtId="0" fontId="15" fillId="0" borderId="15" xfId="0" applyFont="1" applyBorder="1" applyAlignment="1">
      <alignment vertical="center"/>
    </xf>
    <xf numFmtId="0" fontId="15" fillId="0" borderId="16" xfId="0" applyFont="1" applyBorder="1" applyAlignment="1">
      <alignment vertical="center"/>
    </xf>
    <xf numFmtId="0" fontId="15" fillId="0" borderId="17" xfId="0" applyFont="1" applyBorder="1" applyAlignment="1">
      <alignment vertical="center"/>
    </xf>
    <xf numFmtId="0" fontId="14" fillId="0" borderId="0" xfId="0" applyFont="1"/>
    <xf numFmtId="0" fontId="14" fillId="0" borderId="15" xfId="0" applyFont="1" applyBorder="1" applyAlignment="1">
      <alignment vertical="center"/>
    </xf>
    <xf numFmtId="0" fontId="15" fillId="0" borderId="20" xfId="0" applyFont="1" applyBorder="1" applyAlignment="1">
      <alignment vertical="center"/>
    </xf>
    <xf numFmtId="0" fontId="15" fillId="0" borderId="22" xfId="0" applyFont="1" applyBorder="1" applyAlignment="1">
      <alignment vertical="center"/>
    </xf>
    <xf numFmtId="0" fontId="15" fillId="0" borderId="18" xfId="0" applyFont="1" applyBorder="1" applyAlignment="1">
      <alignment vertical="center"/>
    </xf>
    <xf numFmtId="0" fontId="15" fillId="0" borderId="14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0" fontId="7" fillId="0" borderId="1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B048E"/>
      <color rgb="FF0000CC"/>
      <color rgb="FF0E05B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opLeftCell="A15" zoomScaleNormal="100" workbookViewId="0">
      <selection activeCell="G31" sqref="G31"/>
    </sheetView>
  </sheetViews>
  <sheetFormatPr defaultRowHeight="18.75" x14ac:dyDescent="0.3"/>
  <cols>
    <col min="1" max="1" width="8.42578125" style="2" bestFit="1" customWidth="1"/>
    <col min="2" max="2" width="16.7109375" style="2" bestFit="1" customWidth="1"/>
    <col min="3" max="3" width="16.140625" style="2" bestFit="1" customWidth="1"/>
    <col min="4" max="4" width="16.7109375" style="2" bestFit="1" customWidth="1"/>
    <col min="5" max="5" width="12" style="2" bestFit="1" customWidth="1"/>
    <col min="6" max="6" width="12.7109375" style="2" bestFit="1" customWidth="1"/>
    <col min="7" max="7" width="13.85546875" style="2" bestFit="1" customWidth="1"/>
    <col min="8" max="8" width="11.28515625" style="2" bestFit="1" customWidth="1"/>
    <col min="9" max="9" width="12.7109375" style="2" bestFit="1" customWidth="1"/>
    <col min="10" max="11" width="11.28515625" style="2" bestFit="1" customWidth="1"/>
    <col min="12" max="12" width="11.42578125" style="2" bestFit="1" customWidth="1"/>
    <col min="13" max="13" width="10.28515625" style="2" bestFit="1" customWidth="1"/>
    <col min="14" max="14" width="9.140625" style="2"/>
    <col min="15" max="15" width="11" style="2" customWidth="1"/>
    <col min="16" max="16384" width="9.140625" style="2"/>
  </cols>
  <sheetData>
    <row r="1" spans="1:14" x14ac:dyDescent="0.3">
      <c r="A1" s="4"/>
      <c r="B1" s="4"/>
      <c r="C1" s="5"/>
      <c r="D1" s="3" t="s">
        <v>15</v>
      </c>
      <c r="E1" s="4"/>
      <c r="F1" s="4"/>
      <c r="G1" s="6"/>
      <c r="H1" s="7"/>
      <c r="I1" s="7"/>
      <c r="J1" s="7"/>
      <c r="K1" s="7"/>
      <c r="L1" s="7"/>
      <c r="M1" s="7"/>
      <c r="N1" s="7"/>
    </row>
    <row r="2" spans="1:14" x14ac:dyDescent="0.3">
      <c r="A2" s="8" t="s">
        <v>1</v>
      </c>
      <c r="B2" s="8" t="s">
        <v>8</v>
      </c>
      <c r="C2" s="8" t="s">
        <v>9</v>
      </c>
      <c r="D2" s="8" t="s">
        <v>21</v>
      </c>
      <c r="E2" s="8" t="s">
        <v>11</v>
      </c>
      <c r="F2" s="8" t="s">
        <v>13</v>
      </c>
      <c r="G2" s="8" t="s">
        <v>12</v>
      </c>
      <c r="H2" s="7"/>
      <c r="I2" s="7"/>
      <c r="J2" s="7"/>
      <c r="K2" s="7"/>
      <c r="L2" s="7"/>
      <c r="M2" s="7"/>
      <c r="N2" s="7"/>
    </row>
    <row r="3" spans="1:14" x14ac:dyDescent="0.3">
      <c r="A3" s="9" t="s">
        <v>2</v>
      </c>
      <c r="B3" s="9">
        <v>750000</v>
      </c>
      <c r="C3" s="9">
        <v>750000</v>
      </c>
      <c r="D3" s="9">
        <v>800000</v>
      </c>
      <c r="E3" s="9">
        <v>550000</v>
      </c>
      <c r="F3" s="9">
        <v>0</v>
      </c>
      <c r="G3" s="9">
        <f t="shared" ref="G3:G9" si="0">SUM(B3:F3)</f>
        <v>2850000</v>
      </c>
      <c r="H3" s="7"/>
      <c r="I3" s="7"/>
      <c r="J3" s="7"/>
      <c r="K3" s="10"/>
      <c r="L3" s="11"/>
      <c r="M3" s="12"/>
      <c r="N3" s="11"/>
    </row>
    <row r="4" spans="1:14" x14ac:dyDescent="0.3">
      <c r="A4" s="9" t="s">
        <v>3</v>
      </c>
      <c r="B4" s="9">
        <v>750000</v>
      </c>
      <c r="C4" s="9">
        <v>500000</v>
      </c>
      <c r="D4" s="9">
        <v>700000</v>
      </c>
      <c r="E4" s="9">
        <v>550000</v>
      </c>
      <c r="F4" s="9">
        <v>0</v>
      </c>
      <c r="G4" s="9">
        <f t="shared" si="0"/>
        <v>2500000</v>
      </c>
      <c r="H4" s="7"/>
      <c r="I4" s="7"/>
      <c r="J4" s="7"/>
      <c r="K4" s="10"/>
      <c r="L4" s="11"/>
      <c r="M4" s="12"/>
      <c r="N4" s="11"/>
    </row>
    <row r="5" spans="1:14" x14ac:dyDescent="0.3">
      <c r="A5" s="9" t="s">
        <v>4</v>
      </c>
      <c r="B5" s="9">
        <v>600000</v>
      </c>
      <c r="C5" s="9">
        <v>700000</v>
      </c>
      <c r="D5" s="9">
        <v>800000</v>
      </c>
      <c r="E5" s="9">
        <v>625000</v>
      </c>
      <c r="F5" s="9">
        <v>0</v>
      </c>
      <c r="G5" s="9">
        <f t="shared" si="0"/>
        <v>2725000</v>
      </c>
      <c r="H5" s="7"/>
      <c r="I5" s="7"/>
      <c r="J5" s="7"/>
      <c r="K5" s="10"/>
      <c r="L5" s="11"/>
      <c r="M5" s="12"/>
      <c r="N5" s="11"/>
    </row>
    <row r="6" spans="1:14" x14ac:dyDescent="0.3">
      <c r="A6" s="9" t="s">
        <v>5</v>
      </c>
      <c r="B6" s="9">
        <v>700000</v>
      </c>
      <c r="C6" s="9">
        <v>450000</v>
      </c>
      <c r="D6" s="9">
        <v>750000</v>
      </c>
      <c r="E6" s="9">
        <v>600000</v>
      </c>
      <c r="F6" s="9">
        <v>0</v>
      </c>
      <c r="G6" s="9">
        <f t="shared" si="0"/>
        <v>2500000</v>
      </c>
      <c r="H6" s="7"/>
      <c r="I6" s="7"/>
      <c r="J6" s="7"/>
      <c r="K6" s="10"/>
      <c r="L6" s="11"/>
      <c r="M6" s="12"/>
      <c r="N6" s="11"/>
    </row>
    <row r="7" spans="1:14" x14ac:dyDescent="0.3">
      <c r="A7" s="9" t="s">
        <v>6</v>
      </c>
      <c r="B7" s="9">
        <v>900000</v>
      </c>
      <c r="C7" s="9">
        <v>600000</v>
      </c>
      <c r="D7" s="9">
        <v>750000</v>
      </c>
      <c r="E7" s="9">
        <v>600000</v>
      </c>
      <c r="F7" s="9">
        <v>0</v>
      </c>
      <c r="G7" s="9">
        <f t="shared" si="0"/>
        <v>2850000</v>
      </c>
      <c r="H7" s="7"/>
      <c r="I7" s="7"/>
      <c r="J7" s="7"/>
      <c r="K7" s="10"/>
      <c r="L7" s="11"/>
      <c r="M7" s="12"/>
      <c r="N7" s="11"/>
    </row>
    <row r="8" spans="1:14" x14ac:dyDescent="0.3">
      <c r="A8" s="9" t="s">
        <v>7</v>
      </c>
      <c r="B8" s="9">
        <v>900000</v>
      </c>
      <c r="C8" s="9">
        <v>600000</v>
      </c>
      <c r="D8" s="9">
        <v>750000</v>
      </c>
      <c r="E8" s="9">
        <v>600000</v>
      </c>
      <c r="F8" s="9">
        <v>12000000</v>
      </c>
      <c r="G8" s="9">
        <f t="shared" si="0"/>
        <v>14850000</v>
      </c>
      <c r="H8" s="10"/>
      <c r="I8" s="7"/>
      <c r="J8" s="7"/>
      <c r="K8" s="10"/>
      <c r="L8" s="11"/>
      <c r="M8" s="12"/>
      <c r="N8" s="11"/>
    </row>
    <row r="9" spans="1:14" x14ac:dyDescent="0.3">
      <c r="A9" s="8" t="s">
        <v>0</v>
      </c>
      <c r="B9" s="8">
        <f>SUM(B3:B8)</f>
        <v>4600000</v>
      </c>
      <c r="C9" s="8">
        <f>SUM(C3:C8)</f>
        <v>3600000</v>
      </c>
      <c r="D9" s="8">
        <f>SUM(D3:D8)</f>
        <v>4550000</v>
      </c>
      <c r="E9" s="8">
        <f>SUM(E3:E8)</f>
        <v>3525000</v>
      </c>
      <c r="F9" s="8">
        <f>SUM(F3:F8)</f>
        <v>12000000</v>
      </c>
      <c r="G9" s="8">
        <f t="shared" si="0"/>
        <v>28275000</v>
      </c>
      <c r="H9" s="7"/>
      <c r="I9" s="7"/>
      <c r="J9" s="7"/>
      <c r="K9" s="10"/>
      <c r="L9" s="10"/>
      <c r="M9" s="7"/>
      <c r="N9" s="7"/>
    </row>
    <row r="10" spans="1:14" x14ac:dyDescent="0.3">
      <c r="A10" s="10"/>
      <c r="B10" s="10"/>
      <c r="C10" s="10"/>
      <c r="D10" s="10"/>
      <c r="E10" s="10"/>
      <c r="F10" s="10"/>
      <c r="G10" s="7"/>
      <c r="H10" s="7"/>
      <c r="I10" s="7"/>
      <c r="J10" s="7"/>
      <c r="K10" s="10"/>
      <c r="L10" s="10"/>
      <c r="M10" s="7"/>
      <c r="N10" s="7"/>
    </row>
    <row r="11" spans="1:14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spans="1:14" x14ac:dyDescent="0.3">
      <c r="A12" s="13"/>
      <c r="B12" s="13"/>
      <c r="C12" s="13"/>
      <c r="D12" s="1" t="s">
        <v>16</v>
      </c>
      <c r="E12" s="14"/>
      <c r="F12" s="13"/>
      <c r="G12" s="13"/>
      <c r="H12" s="11"/>
      <c r="I12" s="7"/>
      <c r="J12" s="7"/>
      <c r="K12" s="7"/>
      <c r="L12" s="7"/>
      <c r="M12" s="7"/>
      <c r="N12" s="7"/>
    </row>
    <row r="13" spans="1:14" x14ac:dyDescent="0.3">
      <c r="A13" s="15" t="s">
        <v>1</v>
      </c>
      <c r="B13" s="15" t="s">
        <v>8</v>
      </c>
      <c r="C13" s="15" t="s">
        <v>9</v>
      </c>
      <c r="D13" s="15" t="s">
        <v>10</v>
      </c>
      <c r="E13" s="15" t="s">
        <v>11</v>
      </c>
      <c r="F13" s="15" t="s">
        <v>13</v>
      </c>
      <c r="G13" s="16" t="s">
        <v>12</v>
      </c>
      <c r="H13" s="31"/>
      <c r="I13" s="23"/>
      <c r="J13" s="23"/>
      <c r="K13" s="26"/>
      <c r="L13" s="7"/>
      <c r="M13" s="7"/>
      <c r="N13" s="7"/>
    </row>
    <row r="14" spans="1:14" x14ac:dyDescent="0.3">
      <c r="A14" s="9" t="s">
        <v>2</v>
      </c>
      <c r="B14" s="9">
        <v>350000</v>
      </c>
      <c r="C14" s="9">
        <v>450000</v>
      </c>
      <c r="D14" s="9">
        <v>300000</v>
      </c>
      <c r="E14" s="9">
        <v>200000</v>
      </c>
      <c r="F14" s="9">
        <v>300000</v>
      </c>
      <c r="G14" s="17">
        <f>SUM(B14:F14)</f>
        <v>1600000</v>
      </c>
      <c r="H14" s="31"/>
      <c r="I14" s="23"/>
      <c r="J14" s="23"/>
      <c r="K14" s="26"/>
      <c r="L14" s="7"/>
      <c r="M14" s="7"/>
      <c r="N14" s="7"/>
    </row>
    <row r="15" spans="1:14" x14ac:dyDescent="0.3">
      <c r="A15" s="9" t="s">
        <v>3</v>
      </c>
      <c r="B15" s="9">
        <v>150000</v>
      </c>
      <c r="C15" s="9">
        <v>200000</v>
      </c>
      <c r="D15" s="9">
        <v>100000</v>
      </c>
      <c r="E15" s="9">
        <v>150000</v>
      </c>
      <c r="F15" s="9">
        <v>100000</v>
      </c>
      <c r="G15" s="17">
        <f t="shared" ref="G15:G19" si="1">SUM(B15:F15)</f>
        <v>700000</v>
      </c>
      <c r="H15" s="31"/>
      <c r="I15" s="23"/>
      <c r="J15" s="23"/>
      <c r="K15" s="22"/>
      <c r="L15" s="12"/>
      <c r="M15" s="11"/>
      <c r="N15" s="7"/>
    </row>
    <row r="16" spans="1:14" x14ac:dyDescent="0.3">
      <c r="A16" s="9" t="s">
        <v>4</v>
      </c>
      <c r="B16" s="9">
        <v>100000</v>
      </c>
      <c r="C16" s="9">
        <v>350000</v>
      </c>
      <c r="D16" s="9">
        <v>200000</v>
      </c>
      <c r="E16" s="9">
        <v>175000</v>
      </c>
      <c r="F16" s="9">
        <v>100000</v>
      </c>
      <c r="G16" s="17">
        <f t="shared" si="1"/>
        <v>925000</v>
      </c>
      <c r="H16" s="31"/>
      <c r="I16" s="23"/>
      <c r="J16" s="23"/>
      <c r="K16" s="23"/>
      <c r="L16" s="12"/>
      <c r="M16" s="11"/>
      <c r="N16" s="7"/>
    </row>
    <row r="17" spans="1:14" x14ac:dyDescent="0.3">
      <c r="A17" s="9" t="s">
        <v>5</v>
      </c>
      <c r="B17" s="9">
        <v>100000</v>
      </c>
      <c r="C17" s="9">
        <v>150000</v>
      </c>
      <c r="D17" s="9">
        <v>150000</v>
      </c>
      <c r="E17" s="9">
        <v>100000</v>
      </c>
      <c r="F17" s="9">
        <v>100000</v>
      </c>
      <c r="G17" s="17">
        <f t="shared" si="1"/>
        <v>600000</v>
      </c>
      <c r="H17" s="31"/>
      <c r="I17" s="23"/>
      <c r="J17" s="23"/>
      <c r="K17" s="23"/>
      <c r="L17" s="12"/>
      <c r="M17" s="11"/>
      <c r="N17" s="7"/>
    </row>
    <row r="18" spans="1:14" x14ac:dyDescent="0.3">
      <c r="A18" s="9" t="s">
        <v>6</v>
      </c>
      <c r="B18" s="9">
        <v>100000</v>
      </c>
      <c r="C18" s="9">
        <v>150000</v>
      </c>
      <c r="D18" s="9">
        <v>150000</v>
      </c>
      <c r="E18" s="9">
        <v>100000</v>
      </c>
      <c r="F18" s="9">
        <v>100000</v>
      </c>
      <c r="G18" s="17">
        <f t="shared" si="1"/>
        <v>600000</v>
      </c>
      <c r="H18" s="31"/>
      <c r="I18" s="23"/>
      <c r="J18" s="23"/>
      <c r="K18" s="23"/>
      <c r="L18" s="12"/>
      <c r="M18" s="11"/>
      <c r="N18" s="7"/>
    </row>
    <row r="19" spans="1:14" x14ac:dyDescent="0.3">
      <c r="A19" s="9" t="s">
        <v>7</v>
      </c>
      <c r="B19" s="9">
        <v>100000</v>
      </c>
      <c r="C19" s="9">
        <v>150000</v>
      </c>
      <c r="D19" s="9">
        <v>150000</v>
      </c>
      <c r="E19" s="9">
        <v>100000</v>
      </c>
      <c r="F19" s="9">
        <v>100000</v>
      </c>
      <c r="G19" s="17">
        <f t="shared" si="1"/>
        <v>600000</v>
      </c>
      <c r="H19" s="31"/>
      <c r="I19" s="23"/>
      <c r="J19" s="23"/>
      <c r="K19" s="23"/>
      <c r="L19" s="12"/>
      <c r="M19" s="11"/>
      <c r="N19" s="7"/>
    </row>
    <row r="20" spans="1:14" x14ac:dyDescent="0.3">
      <c r="A20" s="8" t="s">
        <v>0</v>
      </c>
      <c r="B20" s="8">
        <f t="shared" ref="B20:E20" si="2">SUM(B14:B19)</f>
        <v>900000</v>
      </c>
      <c r="C20" s="8">
        <f t="shared" si="2"/>
        <v>1450000</v>
      </c>
      <c r="D20" s="8">
        <f t="shared" si="2"/>
        <v>1050000</v>
      </c>
      <c r="E20" s="8">
        <f t="shared" si="2"/>
        <v>825000</v>
      </c>
      <c r="F20" s="8">
        <f>SUM(F14:F19)</f>
        <v>800000</v>
      </c>
      <c r="G20" s="18">
        <f>SUM(G14:G19)</f>
        <v>5025000</v>
      </c>
      <c r="H20" s="31"/>
      <c r="I20" s="23"/>
      <c r="J20" s="22"/>
      <c r="K20" s="23"/>
      <c r="L20" s="12"/>
      <c r="M20" s="11"/>
      <c r="N20" s="7"/>
    </row>
    <row r="21" spans="1:14" x14ac:dyDescent="0.3">
      <c r="K21" s="19"/>
      <c r="L21" s="19"/>
      <c r="M21" s="19"/>
    </row>
    <row r="22" spans="1:14" x14ac:dyDescent="0.3">
      <c r="K22" s="19"/>
      <c r="L22" s="19"/>
      <c r="M22" s="19"/>
    </row>
    <row r="23" spans="1:14" x14ac:dyDescent="0.3">
      <c r="D23" s="2" t="s">
        <v>14</v>
      </c>
      <c r="K23" s="19"/>
      <c r="L23" s="19"/>
      <c r="M23" s="19"/>
    </row>
    <row r="24" spans="1:14" x14ac:dyDescent="0.3">
      <c r="A24" s="8" t="s">
        <v>1</v>
      </c>
      <c r="B24" s="8" t="s">
        <v>15</v>
      </c>
      <c r="C24" s="8" t="s">
        <v>16</v>
      </c>
      <c r="D24" s="8" t="s">
        <v>19</v>
      </c>
      <c r="E24" s="8" t="s">
        <v>17</v>
      </c>
      <c r="F24" s="8" t="s">
        <v>18</v>
      </c>
      <c r="G24" s="8" t="s">
        <v>14</v>
      </c>
      <c r="H24" s="20">
        <v>0.3</v>
      </c>
      <c r="I24" s="20">
        <v>0.7</v>
      </c>
      <c r="J24" s="20" t="s">
        <v>20</v>
      </c>
      <c r="K24" s="11" t="s">
        <v>22</v>
      </c>
      <c r="L24" s="19"/>
      <c r="M24" s="19"/>
    </row>
    <row r="25" spans="1:14" x14ac:dyDescent="0.3">
      <c r="A25" s="9" t="s">
        <v>2</v>
      </c>
      <c r="B25" s="9">
        <f>SUM(G3:K3)</f>
        <v>2850000</v>
      </c>
      <c r="C25" s="9">
        <f>SUM(B14:F14)</f>
        <v>1600000</v>
      </c>
      <c r="D25" s="9">
        <f>B25-C25</f>
        <v>1250000</v>
      </c>
      <c r="E25" s="21">
        <v>550000</v>
      </c>
      <c r="F25" s="9">
        <f>C25-E25</f>
        <v>1050000</v>
      </c>
      <c r="G25" s="9">
        <f>B25-F25</f>
        <v>1800000</v>
      </c>
      <c r="H25" s="9">
        <f>G25*30/100</f>
        <v>540000</v>
      </c>
      <c r="I25" s="9">
        <f>L26-E25</f>
        <v>710000</v>
      </c>
      <c r="J25" s="9">
        <f>H25*25/100</f>
        <v>135000</v>
      </c>
      <c r="K25" s="22">
        <v>12</v>
      </c>
      <c r="L25" s="23"/>
      <c r="M25" s="23">
        <f>J25/K25</f>
        <v>11250</v>
      </c>
    </row>
    <row r="26" spans="1:14" x14ac:dyDescent="0.3">
      <c r="A26" s="9" t="s">
        <v>3</v>
      </c>
      <c r="B26" s="9">
        <f t="shared" ref="B26:B29" si="3">SUM(G4:K4)</f>
        <v>2500000</v>
      </c>
      <c r="C26" s="9">
        <f t="shared" ref="C26:C30" si="4">SUM(B15:F15)</f>
        <v>700000</v>
      </c>
      <c r="D26" s="9">
        <f t="shared" ref="D26:D31" si="5">B26-C26</f>
        <v>1800000</v>
      </c>
      <c r="E26" s="21">
        <v>0</v>
      </c>
      <c r="F26" s="9">
        <f t="shared" ref="F26:F30" si="6">C26-E26</f>
        <v>700000</v>
      </c>
      <c r="G26" s="9">
        <f t="shared" ref="G26:G31" si="7">B26-F26</f>
        <v>1800000</v>
      </c>
      <c r="H26" s="9">
        <f t="shared" ref="H26:H31" si="8">G26*30/100</f>
        <v>540000</v>
      </c>
      <c r="I26" s="9">
        <f t="shared" ref="I26:I30" si="9">D26*70/100</f>
        <v>1260000</v>
      </c>
      <c r="J26" s="9">
        <f t="shared" ref="J26:J30" si="10">H26*25/100</f>
        <v>135000</v>
      </c>
      <c r="K26" s="22">
        <v>12</v>
      </c>
      <c r="L26" s="23">
        <f>G25*70/100</f>
        <v>1260000</v>
      </c>
      <c r="M26" s="23">
        <f t="shared" ref="M26:M30" si="11">J26/K26</f>
        <v>11250</v>
      </c>
    </row>
    <row r="27" spans="1:14" x14ac:dyDescent="0.3">
      <c r="A27" s="9" t="s">
        <v>4</v>
      </c>
      <c r="B27" s="9">
        <f t="shared" si="3"/>
        <v>2725000</v>
      </c>
      <c r="C27" s="9">
        <f t="shared" si="4"/>
        <v>925000</v>
      </c>
      <c r="D27" s="9">
        <f t="shared" si="5"/>
        <v>1800000</v>
      </c>
      <c r="E27" s="21">
        <v>0</v>
      </c>
      <c r="F27" s="9">
        <f t="shared" si="6"/>
        <v>925000</v>
      </c>
      <c r="G27" s="9">
        <f t="shared" si="7"/>
        <v>1800000</v>
      </c>
      <c r="H27" s="9">
        <f t="shared" si="8"/>
        <v>540000</v>
      </c>
      <c r="I27" s="9">
        <f t="shared" si="9"/>
        <v>1260000</v>
      </c>
      <c r="J27" s="9">
        <f t="shared" si="10"/>
        <v>135000</v>
      </c>
      <c r="K27" s="22">
        <v>12</v>
      </c>
      <c r="L27" s="23"/>
      <c r="M27" s="23">
        <f t="shared" si="11"/>
        <v>11250</v>
      </c>
    </row>
    <row r="28" spans="1:14" x14ac:dyDescent="0.3">
      <c r="A28" s="9" t="s">
        <v>5</v>
      </c>
      <c r="B28" s="9">
        <f t="shared" si="3"/>
        <v>2500000</v>
      </c>
      <c r="C28" s="9">
        <f t="shared" si="4"/>
        <v>600000</v>
      </c>
      <c r="D28" s="9">
        <f t="shared" si="5"/>
        <v>1900000</v>
      </c>
      <c r="E28" s="21">
        <v>0</v>
      </c>
      <c r="F28" s="9">
        <f t="shared" si="6"/>
        <v>600000</v>
      </c>
      <c r="G28" s="9">
        <f t="shared" si="7"/>
        <v>1900000</v>
      </c>
      <c r="H28" s="9">
        <f t="shared" si="8"/>
        <v>570000</v>
      </c>
      <c r="I28" s="9">
        <f t="shared" si="9"/>
        <v>1330000</v>
      </c>
      <c r="J28" s="9">
        <f t="shared" si="10"/>
        <v>142500</v>
      </c>
      <c r="K28" s="22">
        <v>12</v>
      </c>
      <c r="L28" s="23"/>
      <c r="M28" s="23">
        <f t="shared" si="11"/>
        <v>11875</v>
      </c>
    </row>
    <row r="29" spans="1:14" x14ac:dyDescent="0.3">
      <c r="A29" s="9" t="s">
        <v>6</v>
      </c>
      <c r="B29" s="9">
        <f t="shared" si="3"/>
        <v>2850000</v>
      </c>
      <c r="C29" s="9">
        <f t="shared" si="4"/>
        <v>600000</v>
      </c>
      <c r="D29" s="9">
        <f t="shared" si="5"/>
        <v>2250000</v>
      </c>
      <c r="E29" s="21">
        <v>0</v>
      </c>
      <c r="F29" s="9">
        <f t="shared" si="6"/>
        <v>600000</v>
      </c>
      <c r="G29" s="9">
        <f t="shared" si="7"/>
        <v>2250000</v>
      </c>
      <c r="H29" s="9">
        <f t="shared" si="8"/>
        <v>675000</v>
      </c>
      <c r="I29" s="9">
        <f t="shared" si="9"/>
        <v>1575000</v>
      </c>
      <c r="J29" s="9">
        <f t="shared" si="10"/>
        <v>168750</v>
      </c>
      <c r="K29" s="22">
        <v>12</v>
      </c>
      <c r="L29" s="23"/>
      <c r="M29" s="24">
        <f t="shared" si="11"/>
        <v>14062.5</v>
      </c>
    </row>
    <row r="30" spans="1:14" x14ac:dyDescent="0.3">
      <c r="A30" s="9" t="s">
        <v>7</v>
      </c>
      <c r="B30" s="9">
        <f>SUM(G8:K8)</f>
        <v>14850000</v>
      </c>
      <c r="C30" s="9">
        <f t="shared" si="4"/>
        <v>600000</v>
      </c>
      <c r="D30" s="9">
        <f t="shared" si="5"/>
        <v>14250000</v>
      </c>
      <c r="E30" s="21">
        <v>0</v>
      </c>
      <c r="F30" s="9">
        <f t="shared" si="6"/>
        <v>600000</v>
      </c>
      <c r="G30" s="9">
        <f t="shared" si="7"/>
        <v>14250000</v>
      </c>
      <c r="H30" s="9">
        <f t="shared" si="8"/>
        <v>4275000</v>
      </c>
      <c r="I30" s="9">
        <f t="shared" si="9"/>
        <v>9975000</v>
      </c>
      <c r="J30" s="9">
        <f t="shared" si="10"/>
        <v>1068750</v>
      </c>
      <c r="K30" s="25">
        <v>12</v>
      </c>
      <c r="L30" s="26"/>
      <c r="M30" s="24">
        <f t="shared" si="11"/>
        <v>89062.5</v>
      </c>
    </row>
    <row r="31" spans="1:14" x14ac:dyDescent="0.3">
      <c r="A31" s="8" t="s">
        <v>0</v>
      </c>
      <c r="B31" s="27">
        <f>B25+B26+B27+B28+B29+B30</f>
        <v>28275000</v>
      </c>
      <c r="C31" s="27">
        <f>C25+C26+C27+C28+C29+C30</f>
        <v>5025000</v>
      </c>
      <c r="D31" s="8">
        <f t="shared" si="5"/>
        <v>23250000</v>
      </c>
      <c r="E31" s="28"/>
      <c r="F31" s="8">
        <f>SUM(F25:F30)</f>
        <v>4475000</v>
      </c>
      <c r="G31" s="28">
        <f t="shared" si="7"/>
        <v>23800000</v>
      </c>
      <c r="H31" s="8">
        <f t="shared" si="8"/>
        <v>7140000</v>
      </c>
      <c r="I31" s="8">
        <f t="shared" ref="I31" si="12">E31+G31</f>
        <v>23800000</v>
      </c>
      <c r="J31" s="29">
        <f>SUM(J24:J30)</f>
        <v>1785000</v>
      </c>
      <c r="L31" s="7"/>
      <c r="M31" s="30">
        <f>SUM(M25:M30)</f>
        <v>148750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zoomScale="90" zoomScaleNormal="90" workbookViewId="0">
      <selection activeCell="B4" sqref="B4"/>
    </sheetView>
  </sheetViews>
  <sheetFormatPr defaultRowHeight="15" x14ac:dyDescent="0.25"/>
  <cols>
    <col min="1" max="1" width="7.28515625" bestFit="1" customWidth="1"/>
    <col min="2" max="2" width="23.85546875" bestFit="1" customWidth="1"/>
    <col min="3" max="3" width="10.28515625" bestFit="1" customWidth="1"/>
    <col min="4" max="4" width="13.85546875" bestFit="1" customWidth="1"/>
    <col min="5" max="5" width="10.7109375" bestFit="1" customWidth="1"/>
    <col min="6" max="6" width="7.5703125" bestFit="1" customWidth="1"/>
    <col min="7" max="7" width="10.7109375" bestFit="1" customWidth="1"/>
    <col min="8" max="8" width="7.7109375" bestFit="1" customWidth="1"/>
    <col min="9" max="9" width="12" bestFit="1" customWidth="1"/>
    <col min="10" max="10" width="11.7109375" bestFit="1" customWidth="1"/>
    <col min="11" max="11" width="12" bestFit="1" customWidth="1"/>
    <col min="12" max="12" width="15.28515625" bestFit="1" customWidth="1"/>
    <col min="13" max="13" width="10.5703125" bestFit="1" customWidth="1"/>
    <col min="14" max="14" width="10.5703125" customWidth="1"/>
    <col min="15" max="15" width="14.140625" bestFit="1" customWidth="1"/>
    <col min="16" max="16" width="11.42578125" bestFit="1" customWidth="1"/>
    <col min="17" max="17" width="9.85546875" bestFit="1" customWidth="1"/>
    <col min="18" max="19" width="10" bestFit="1" customWidth="1"/>
  </cols>
  <sheetData>
    <row r="1" spans="1:19" ht="23.25" customHeight="1" x14ac:dyDescent="0.25"/>
    <row r="2" spans="1:19" ht="18.75" x14ac:dyDescent="0.3">
      <c r="A2" s="66" t="s">
        <v>47</v>
      </c>
      <c r="B2" s="66" t="s">
        <v>48</v>
      </c>
      <c r="C2" s="66" t="s">
        <v>49</v>
      </c>
      <c r="D2" s="66" t="s">
        <v>50</v>
      </c>
      <c r="E2" s="66" t="s">
        <v>51</v>
      </c>
      <c r="F2" s="66" t="s">
        <v>52</v>
      </c>
      <c r="G2" s="66" t="s">
        <v>35</v>
      </c>
      <c r="H2" s="66" t="s">
        <v>23</v>
      </c>
      <c r="I2" s="66" t="s">
        <v>72</v>
      </c>
      <c r="J2" s="67" t="s">
        <v>43</v>
      </c>
      <c r="K2" s="66" t="s">
        <v>72</v>
      </c>
      <c r="L2" s="67" t="s">
        <v>66</v>
      </c>
      <c r="M2" s="67" t="s">
        <v>64</v>
      </c>
      <c r="N2" s="67" t="s">
        <v>74</v>
      </c>
      <c r="O2" s="67" t="s">
        <v>63</v>
      </c>
      <c r="P2" s="34" t="s">
        <v>40</v>
      </c>
      <c r="Q2" s="34" t="s">
        <v>65</v>
      </c>
      <c r="R2" s="67" t="s">
        <v>108</v>
      </c>
      <c r="S2" s="67" t="s">
        <v>109</v>
      </c>
    </row>
    <row r="3" spans="1:19" ht="18.75" x14ac:dyDescent="0.3">
      <c r="A3" s="66">
        <v>1</v>
      </c>
      <c r="B3" s="66" t="s">
        <v>53</v>
      </c>
      <c r="C3" s="66" t="s">
        <v>54</v>
      </c>
      <c r="D3" s="66">
        <v>3.26</v>
      </c>
      <c r="E3" s="66" t="s">
        <v>55</v>
      </c>
      <c r="F3" s="66">
        <v>3500</v>
      </c>
      <c r="G3" s="66">
        <v>42000</v>
      </c>
      <c r="H3" s="67">
        <v>16</v>
      </c>
      <c r="I3" s="66">
        <f>G3/H3</f>
        <v>2625</v>
      </c>
      <c r="J3" s="66">
        <v>2</v>
      </c>
      <c r="K3" s="66">
        <f>I3*J3</f>
        <v>5250</v>
      </c>
      <c r="L3" s="9">
        <v>1000</v>
      </c>
      <c r="M3" s="9">
        <v>2000</v>
      </c>
      <c r="N3" s="9">
        <v>2000</v>
      </c>
      <c r="O3" s="9">
        <v>7000</v>
      </c>
      <c r="P3" s="34">
        <f>O3+N3+M3+L3+K3</f>
        <v>17250</v>
      </c>
      <c r="Q3" s="34">
        <f>P3*H3</f>
        <v>276000</v>
      </c>
      <c r="R3" s="46">
        <v>150000</v>
      </c>
      <c r="S3" s="34">
        <f>Q3-R3</f>
        <v>126000</v>
      </c>
    </row>
    <row r="4" spans="1:19" ht="18.75" x14ac:dyDescent="0.3">
      <c r="A4" s="66">
        <v>2</v>
      </c>
      <c r="B4" s="66" t="s">
        <v>56</v>
      </c>
      <c r="C4" s="66" t="s">
        <v>32</v>
      </c>
      <c r="D4" s="66">
        <v>4.7300000000000004</v>
      </c>
      <c r="E4" s="66" t="s">
        <v>57</v>
      </c>
      <c r="F4" s="66">
        <v>800</v>
      </c>
      <c r="G4" s="66">
        <v>16000</v>
      </c>
      <c r="H4" s="67">
        <v>24</v>
      </c>
      <c r="I4" s="69">
        <f t="shared" ref="I4:I6" si="0">G4/H4</f>
        <v>666.66666666666663</v>
      </c>
      <c r="J4" s="66">
        <v>2</v>
      </c>
      <c r="K4" s="69">
        <f>I4*J4</f>
        <v>1333.3333333333333</v>
      </c>
      <c r="L4" s="9">
        <v>1000</v>
      </c>
      <c r="M4" s="9">
        <v>1500</v>
      </c>
      <c r="N4" s="9">
        <v>1500</v>
      </c>
      <c r="O4" s="9">
        <v>4000</v>
      </c>
      <c r="P4" s="70">
        <f t="shared" ref="P4:P6" si="1">O4+M4+L4+K4</f>
        <v>7833.333333333333</v>
      </c>
      <c r="Q4" s="34">
        <f t="shared" ref="Q4:Q6" si="2">P4*H4</f>
        <v>188000</v>
      </c>
      <c r="R4" s="46">
        <v>100000</v>
      </c>
      <c r="S4" s="34">
        <f t="shared" ref="S4:S6" si="3">Q4-R4</f>
        <v>88000</v>
      </c>
    </row>
    <row r="5" spans="1:19" ht="18.75" x14ac:dyDescent="0.3">
      <c r="A5" s="66">
        <v>3</v>
      </c>
      <c r="B5" s="66" t="s">
        <v>58</v>
      </c>
      <c r="C5" s="66" t="s">
        <v>59</v>
      </c>
      <c r="D5" s="66">
        <v>4.75</v>
      </c>
      <c r="E5" s="66" t="s">
        <v>60</v>
      </c>
      <c r="F5" s="66">
        <v>1500</v>
      </c>
      <c r="G5" s="66">
        <v>12000</v>
      </c>
      <c r="H5" s="67">
        <v>24</v>
      </c>
      <c r="I5" s="66">
        <f t="shared" si="0"/>
        <v>500</v>
      </c>
      <c r="J5" s="66">
        <v>2</v>
      </c>
      <c r="K5" s="66">
        <f t="shared" ref="K5:K6" si="4">I5*J5</f>
        <v>1000</v>
      </c>
      <c r="L5" s="9">
        <v>1000</v>
      </c>
      <c r="M5" s="9">
        <v>1500</v>
      </c>
      <c r="N5" s="9">
        <v>1500</v>
      </c>
      <c r="O5" s="9">
        <v>2000</v>
      </c>
      <c r="P5" s="34">
        <f t="shared" si="1"/>
        <v>5500</v>
      </c>
      <c r="Q5" s="34">
        <f t="shared" si="2"/>
        <v>132000</v>
      </c>
      <c r="R5" s="46">
        <v>150000</v>
      </c>
      <c r="S5" s="34">
        <f t="shared" si="3"/>
        <v>-18000</v>
      </c>
    </row>
    <row r="6" spans="1:19" ht="18.75" x14ac:dyDescent="0.3">
      <c r="A6" s="66">
        <v>4</v>
      </c>
      <c r="B6" s="66" t="s">
        <v>61</v>
      </c>
      <c r="C6" s="66" t="s">
        <v>62</v>
      </c>
      <c r="D6" s="66">
        <v>3.51</v>
      </c>
      <c r="E6" s="66">
        <v>120000</v>
      </c>
      <c r="F6" s="66">
        <v>1.5</v>
      </c>
      <c r="G6" s="66">
        <v>180000</v>
      </c>
      <c r="H6" s="67">
        <v>18</v>
      </c>
      <c r="I6" s="66">
        <f t="shared" si="0"/>
        <v>10000</v>
      </c>
      <c r="J6" s="67">
        <v>1</v>
      </c>
      <c r="K6" s="66">
        <f t="shared" si="4"/>
        <v>10000</v>
      </c>
      <c r="L6" s="9">
        <v>1000</v>
      </c>
      <c r="M6" s="9">
        <v>2000</v>
      </c>
      <c r="N6" s="9">
        <v>2000</v>
      </c>
      <c r="O6" s="9">
        <v>5000</v>
      </c>
      <c r="P6" s="34">
        <f t="shared" si="1"/>
        <v>18000</v>
      </c>
      <c r="Q6" s="34">
        <f t="shared" si="2"/>
        <v>324000</v>
      </c>
      <c r="R6" s="46">
        <v>350000</v>
      </c>
      <c r="S6" s="34">
        <f t="shared" si="3"/>
        <v>-26000</v>
      </c>
    </row>
    <row r="7" spans="1:19" ht="18.75" x14ac:dyDescent="0.3">
      <c r="A7" s="66"/>
      <c r="B7" s="66"/>
      <c r="C7" s="66"/>
      <c r="D7" s="66"/>
      <c r="E7" s="66" t="s">
        <v>12</v>
      </c>
      <c r="F7" s="66"/>
      <c r="G7" s="66">
        <v>250000</v>
      </c>
      <c r="H7" s="66"/>
      <c r="I7" s="66"/>
      <c r="J7" s="66"/>
      <c r="K7" s="66"/>
      <c r="L7" s="9"/>
      <c r="M7" s="9"/>
      <c r="N7" s="9"/>
      <c r="O7" s="9"/>
      <c r="P7" s="34"/>
      <c r="Q7" s="34">
        <f>SUM(Q3:Q6)</f>
        <v>920000</v>
      </c>
      <c r="R7" s="34">
        <f>SUM(R3:R6)</f>
        <v>750000</v>
      </c>
      <c r="S7" s="34"/>
    </row>
    <row r="11" spans="1:19" x14ac:dyDescent="0.25">
      <c r="B11" t="s">
        <v>67</v>
      </c>
    </row>
    <row r="12" spans="1:19" x14ac:dyDescent="0.25">
      <c r="B12" t="s">
        <v>69</v>
      </c>
      <c r="C12" t="s">
        <v>68</v>
      </c>
      <c r="D12" t="s">
        <v>70</v>
      </c>
    </row>
    <row r="13" spans="1:19" x14ac:dyDescent="0.25">
      <c r="B13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0"/>
  <sheetViews>
    <sheetView topLeftCell="A26" zoomScale="70" zoomScaleNormal="70" workbookViewId="0">
      <selection activeCell="M44" sqref="M44"/>
    </sheetView>
  </sheetViews>
  <sheetFormatPr defaultRowHeight="15" x14ac:dyDescent="0.25"/>
  <cols>
    <col min="1" max="1" width="8.42578125" bestFit="1" customWidth="1"/>
    <col min="2" max="2" width="15.5703125" bestFit="1" customWidth="1"/>
    <col min="3" max="3" width="14.28515625" bestFit="1" customWidth="1"/>
    <col min="4" max="4" width="20.28515625" bestFit="1" customWidth="1"/>
    <col min="5" max="5" width="11.85546875" bestFit="1" customWidth="1"/>
    <col min="6" max="6" width="11.5703125" bestFit="1" customWidth="1"/>
    <col min="7" max="7" width="13.28515625" bestFit="1" customWidth="1"/>
    <col min="8" max="8" width="20.85546875" bestFit="1" customWidth="1"/>
    <col min="9" max="9" width="11.140625" bestFit="1" customWidth="1"/>
    <col min="10" max="10" width="10" bestFit="1" customWidth="1"/>
    <col min="11" max="11" width="6.7109375" bestFit="1" customWidth="1"/>
    <col min="12" max="12" width="10.42578125" bestFit="1" customWidth="1"/>
    <col min="13" max="13" width="11.85546875" bestFit="1" customWidth="1"/>
    <col min="14" max="14" width="11.42578125" bestFit="1" customWidth="1"/>
    <col min="15" max="15" width="10" bestFit="1" customWidth="1"/>
    <col min="16" max="16" width="6.7109375" bestFit="1" customWidth="1"/>
    <col min="17" max="17" width="10.7109375" bestFit="1" customWidth="1"/>
    <col min="18" max="18" width="13" bestFit="1" customWidth="1"/>
    <col min="19" max="19" width="12.7109375" bestFit="1" customWidth="1"/>
    <col min="20" max="20" width="11.42578125" bestFit="1" customWidth="1"/>
    <col min="21" max="21" width="9.28515625" bestFit="1" customWidth="1"/>
    <col min="22" max="22" width="11.28515625" bestFit="1" customWidth="1"/>
  </cols>
  <sheetData>
    <row r="1" spans="1:20" ht="18.75" x14ac:dyDescent="0.3">
      <c r="A1" s="4"/>
      <c r="B1" s="4"/>
      <c r="C1" s="32"/>
      <c r="D1" s="8" t="s">
        <v>8</v>
      </c>
      <c r="E1" s="32"/>
      <c r="F1" s="5"/>
      <c r="G1" s="52" t="s">
        <v>38</v>
      </c>
      <c r="H1" s="47" t="s">
        <v>73</v>
      </c>
      <c r="I1" s="50"/>
      <c r="J1" s="50"/>
      <c r="K1" s="47"/>
      <c r="L1" s="47"/>
      <c r="M1" s="48" t="s">
        <v>34</v>
      </c>
      <c r="N1" s="65"/>
      <c r="O1" s="49"/>
      <c r="P1" s="49"/>
      <c r="Q1" s="49"/>
    </row>
    <row r="2" spans="1:20" ht="18.75" x14ac:dyDescent="0.3">
      <c r="A2" s="8" t="s">
        <v>1</v>
      </c>
      <c r="B2" s="8" t="s">
        <v>27</v>
      </c>
      <c r="C2" s="8" t="s">
        <v>24</v>
      </c>
      <c r="D2" s="8" t="s">
        <v>110</v>
      </c>
      <c r="E2" s="8" t="s">
        <v>41</v>
      </c>
      <c r="F2" s="18" t="s">
        <v>40</v>
      </c>
      <c r="G2" s="16" t="s">
        <v>25</v>
      </c>
      <c r="H2" s="15" t="s">
        <v>36</v>
      </c>
      <c r="I2" s="63" t="s">
        <v>43</v>
      </c>
      <c r="J2" s="51" t="s">
        <v>46</v>
      </c>
      <c r="K2" s="8" t="s">
        <v>33</v>
      </c>
      <c r="L2" s="8" t="s">
        <v>35</v>
      </c>
      <c r="M2" s="15" t="s">
        <v>36</v>
      </c>
      <c r="N2" s="63" t="s">
        <v>43</v>
      </c>
      <c r="O2" s="40" t="s">
        <v>46</v>
      </c>
      <c r="P2" s="8" t="s">
        <v>33</v>
      </c>
      <c r="Q2" s="8" t="s">
        <v>35</v>
      </c>
      <c r="R2" s="8" t="s">
        <v>45</v>
      </c>
      <c r="S2" s="39" t="s">
        <v>44</v>
      </c>
      <c r="T2" s="27" t="s">
        <v>109</v>
      </c>
    </row>
    <row r="3" spans="1:20" ht="18.75" x14ac:dyDescent="0.3">
      <c r="A3" s="9" t="s">
        <v>2</v>
      </c>
      <c r="B3" s="9">
        <v>750000</v>
      </c>
      <c r="C3" s="9">
        <v>16</v>
      </c>
      <c r="D3" s="9">
        <f>B3/C3</f>
        <v>46875</v>
      </c>
      <c r="E3" s="9">
        <v>150000</v>
      </c>
      <c r="F3" s="9">
        <f>E3/C3</f>
        <v>9375</v>
      </c>
      <c r="G3" s="17">
        <f>D3-F3</f>
        <v>37500</v>
      </c>
      <c r="H3" s="53">
        <v>150</v>
      </c>
      <c r="I3" s="53">
        <v>2</v>
      </c>
      <c r="J3" s="9">
        <f>H3*I3</f>
        <v>300</v>
      </c>
      <c r="K3" s="9">
        <v>180</v>
      </c>
      <c r="L3" s="9">
        <f>J3*K3</f>
        <v>54000</v>
      </c>
      <c r="M3" s="9">
        <v>40</v>
      </c>
      <c r="N3" s="9">
        <v>2</v>
      </c>
      <c r="O3" s="34">
        <f>M3*N3</f>
        <v>80</v>
      </c>
      <c r="P3" s="46">
        <v>250</v>
      </c>
      <c r="Q3" s="9">
        <f>O3*P3</f>
        <v>20000</v>
      </c>
      <c r="R3" s="9">
        <f>L3+Q3</f>
        <v>74000</v>
      </c>
      <c r="S3" s="34">
        <f>C3*R3</f>
        <v>1184000</v>
      </c>
      <c r="T3" s="34">
        <f>S3-B3</f>
        <v>434000</v>
      </c>
    </row>
    <row r="4" spans="1:20" ht="18.75" x14ac:dyDescent="0.3">
      <c r="A4" s="9" t="s">
        <v>3</v>
      </c>
      <c r="B4" s="9">
        <v>750000</v>
      </c>
      <c r="C4" s="9">
        <v>16</v>
      </c>
      <c r="D4" s="9">
        <f t="shared" ref="D4:D8" si="0">B4/C4</f>
        <v>46875</v>
      </c>
      <c r="E4" s="9">
        <v>150000</v>
      </c>
      <c r="F4" s="9">
        <f t="shared" ref="F4:F8" si="1">E4/C4</f>
        <v>9375</v>
      </c>
      <c r="G4" s="17">
        <f t="shared" ref="G4:G8" si="2">D4-F4</f>
        <v>37500</v>
      </c>
      <c r="H4" s="9">
        <v>120</v>
      </c>
      <c r="I4" s="9">
        <v>2</v>
      </c>
      <c r="J4" s="9">
        <f>H4*I4</f>
        <v>240</v>
      </c>
      <c r="K4" s="9">
        <v>180</v>
      </c>
      <c r="L4" s="9">
        <f t="shared" ref="L4" si="3">J4*K4</f>
        <v>43200</v>
      </c>
      <c r="M4" s="9">
        <v>30</v>
      </c>
      <c r="N4" s="9">
        <v>2</v>
      </c>
      <c r="O4" s="34">
        <f t="shared" ref="O4" si="4">M4*N4</f>
        <v>60</v>
      </c>
      <c r="P4" s="46">
        <v>250</v>
      </c>
      <c r="Q4" s="9">
        <f t="shared" ref="Q4" si="5">O4*P4</f>
        <v>15000</v>
      </c>
      <c r="R4" s="9">
        <f t="shared" ref="R4" si="6">L4+Q4</f>
        <v>58200</v>
      </c>
      <c r="S4" s="34">
        <f>C4*R4</f>
        <v>931200</v>
      </c>
      <c r="T4" s="34">
        <f>S4-B4</f>
        <v>181200</v>
      </c>
    </row>
    <row r="5" spans="1:20" ht="18.75" x14ac:dyDescent="0.3">
      <c r="A5" s="9" t="s">
        <v>4</v>
      </c>
      <c r="B5" s="9">
        <v>600000</v>
      </c>
      <c r="C5" s="9">
        <v>16</v>
      </c>
      <c r="D5" s="9">
        <f t="shared" si="0"/>
        <v>37500</v>
      </c>
      <c r="E5" s="9">
        <v>100000</v>
      </c>
      <c r="F5" s="9">
        <f t="shared" si="1"/>
        <v>6250</v>
      </c>
      <c r="G5" s="17">
        <f t="shared" si="2"/>
        <v>31250</v>
      </c>
      <c r="H5" s="9"/>
      <c r="I5" s="9"/>
      <c r="J5" s="9"/>
      <c r="K5" s="9"/>
      <c r="L5" s="9"/>
      <c r="M5" s="9"/>
      <c r="N5" s="9"/>
      <c r="O5" s="34"/>
      <c r="P5" s="46"/>
      <c r="Q5" s="9"/>
      <c r="R5" s="9"/>
      <c r="S5" s="34"/>
      <c r="T5" s="34"/>
    </row>
    <row r="6" spans="1:20" ht="18.75" x14ac:dyDescent="0.3">
      <c r="A6" s="9" t="s">
        <v>5</v>
      </c>
      <c r="B6" s="9">
        <v>700000</v>
      </c>
      <c r="C6" s="9">
        <v>16</v>
      </c>
      <c r="D6" s="9">
        <f t="shared" si="0"/>
        <v>43750</v>
      </c>
      <c r="E6" s="9">
        <v>100000</v>
      </c>
      <c r="F6" s="9">
        <f t="shared" si="1"/>
        <v>6250</v>
      </c>
      <c r="G6" s="17">
        <f t="shared" si="2"/>
        <v>37500</v>
      </c>
      <c r="H6" s="9"/>
      <c r="I6" s="9"/>
      <c r="J6" s="9"/>
      <c r="K6" s="9"/>
      <c r="L6" s="9"/>
      <c r="M6" s="9"/>
      <c r="N6" s="9"/>
      <c r="O6" s="35"/>
      <c r="P6" s="35"/>
      <c r="Q6" s="9"/>
      <c r="R6" s="9"/>
      <c r="S6" s="35"/>
      <c r="T6" s="34"/>
    </row>
    <row r="7" spans="1:20" ht="18.75" x14ac:dyDescent="0.3">
      <c r="A7" s="9" t="s">
        <v>6</v>
      </c>
      <c r="B7" s="9">
        <v>900000</v>
      </c>
      <c r="C7" s="9">
        <v>16</v>
      </c>
      <c r="D7" s="9">
        <f t="shared" si="0"/>
        <v>56250</v>
      </c>
      <c r="E7" s="9">
        <v>100000</v>
      </c>
      <c r="F7" s="9">
        <f t="shared" si="1"/>
        <v>6250</v>
      </c>
      <c r="G7" s="17">
        <f t="shared" si="2"/>
        <v>50000</v>
      </c>
      <c r="H7" s="9"/>
      <c r="I7" s="9"/>
      <c r="J7" s="9"/>
      <c r="K7" s="9"/>
      <c r="L7" s="9"/>
      <c r="M7" s="9"/>
      <c r="N7" s="9"/>
      <c r="O7" s="35"/>
      <c r="P7" s="35"/>
      <c r="Q7" s="9"/>
      <c r="R7" s="9"/>
      <c r="S7" s="35"/>
      <c r="T7" s="34"/>
    </row>
    <row r="8" spans="1:20" ht="18.75" x14ac:dyDescent="0.3">
      <c r="A8" s="9" t="s">
        <v>7</v>
      </c>
      <c r="B8" s="9">
        <v>900000</v>
      </c>
      <c r="C8" s="9">
        <v>16</v>
      </c>
      <c r="D8" s="9">
        <f t="shared" si="0"/>
        <v>56250</v>
      </c>
      <c r="E8" s="9">
        <v>100000</v>
      </c>
      <c r="F8" s="9">
        <f t="shared" si="1"/>
        <v>6250</v>
      </c>
      <c r="G8" s="17">
        <f t="shared" si="2"/>
        <v>50000</v>
      </c>
      <c r="H8" s="9"/>
      <c r="I8" s="9"/>
      <c r="J8" s="9"/>
      <c r="K8" s="9"/>
      <c r="L8" s="9"/>
      <c r="M8" s="9"/>
      <c r="N8" s="9"/>
      <c r="O8" s="35"/>
      <c r="P8" s="35"/>
      <c r="Q8" s="9"/>
      <c r="R8" s="9"/>
      <c r="S8" s="35"/>
      <c r="T8" s="34"/>
    </row>
    <row r="9" spans="1:20" ht="18.75" x14ac:dyDescent="0.3">
      <c r="A9" s="8" t="s">
        <v>0</v>
      </c>
      <c r="B9" s="8">
        <f>SUM(B3:B8)</f>
        <v>4600000</v>
      </c>
      <c r="C9" s="8"/>
      <c r="D9" s="38">
        <f>AVERAGE(D3:D8)</f>
        <v>47916.666666666664</v>
      </c>
      <c r="E9" s="8">
        <f>SUM(E3:E8)</f>
        <v>700000</v>
      </c>
      <c r="F9" s="38">
        <f>AVERAGE(F3:F8)</f>
        <v>7291.666666666667</v>
      </c>
      <c r="G9" s="18">
        <f>AVERAGE(G3:G8)</f>
        <v>40625</v>
      </c>
      <c r="H9" s="8"/>
      <c r="I9" s="8"/>
      <c r="J9" s="8"/>
      <c r="K9" s="8"/>
      <c r="L9" s="8"/>
      <c r="M9" s="8"/>
      <c r="N9" s="8"/>
      <c r="O9" s="35"/>
      <c r="P9" s="35"/>
      <c r="Q9" s="8"/>
      <c r="R9" s="9"/>
      <c r="S9" s="35"/>
      <c r="T9" s="34"/>
    </row>
    <row r="11" spans="1:20" ht="18.75" x14ac:dyDescent="0.3">
      <c r="D11" s="8" t="s">
        <v>9</v>
      </c>
      <c r="G11" s="56" t="s">
        <v>38</v>
      </c>
      <c r="H11" s="62" t="s">
        <v>117</v>
      </c>
      <c r="I11" s="36"/>
      <c r="M11" s="80" t="s">
        <v>111</v>
      </c>
    </row>
    <row r="12" spans="1:20" ht="18.75" x14ac:dyDescent="0.3">
      <c r="A12" s="8" t="s">
        <v>1</v>
      </c>
      <c r="B12" s="8" t="s">
        <v>27</v>
      </c>
      <c r="C12" s="8" t="s">
        <v>24</v>
      </c>
      <c r="D12" s="8" t="s">
        <v>39</v>
      </c>
      <c r="E12" s="8" t="s">
        <v>41</v>
      </c>
      <c r="F12" s="18" t="s">
        <v>40</v>
      </c>
      <c r="G12" s="15" t="s">
        <v>25</v>
      </c>
      <c r="H12" s="63" t="s">
        <v>37</v>
      </c>
      <c r="I12" s="27" t="s">
        <v>43</v>
      </c>
      <c r="J12" s="54" t="s">
        <v>46</v>
      </c>
      <c r="K12" s="27" t="s">
        <v>33</v>
      </c>
      <c r="L12" s="59" t="s">
        <v>35</v>
      </c>
      <c r="M12" s="57" t="s">
        <v>118</v>
      </c>
      <c r="N12" s="54" t="s">
        <v>43</v>
      </c>
      <c r="O12" s="40" t="s">
        <v>46</v>
      </c>
      <c r="P12" s="8" t="s">
        <v>33</v>
      </c>
      <c r="Q12" s="8" t="s">
        <v>35</v>
      </c>
      <c r="R12" s="8" t="s">
        <v>45</v>
      </c>
      <c r="S12" s="39" t="s">
        <v>44</v>
      </c>
    </row>
    <row r="13" spans="1:20" ht="18.75" x14ac:dyDescent="0.3">
      <c r="A13" s="9" t="s">
        <v>2</v>
      </c>
      <c r="B13" s="9">
        <v>750000</v>
      </c>
      <c r="C13" s="9">
        <v>24</v>
      </c>
      <c r="D13" s="9">
        <f>B13/C13</f>
        <v>31250</v>
      </c>
      <c r="E13" s="9">
        <v>350000</v>
      </c>
      <c r="F13" s="33">
        <f>E13/C13</f>
        <v>14583.333333333334</v>
      </c>
      <c r="G13" s="64">
        <f>D13-F13</f>
        <v>16666.666666666664</v>
      </c>
      <c r="H13" s="53">
        <v>100</v>
      </c>
      <c r="I13" s="55">
        <v>2</v>
      </c>
      <c r="J13" s="34">
        <f>I13*H13</f>
        <v>200</v>
      </c>
      <c r="K13" s="34">
        <v>200</v>
      </c>
      <c r="L13" s="34">
        <f>J13*K13</f>
        <v>40000</v>
      </c>
      <c r="M13" s="55">
        <v>10</v>
      </c>
      <c r="N13" s="34">
        <v>2</v>
      </c>
      <c r="O13" s="34">
        <f>M13*N13</f>
        <v>20</v>
      </c>
      <c r="P13" s="34">
        <v>250</v>
      </c>
      <c r="Q13" s="34">
        <f>O13*P13</f>
        <v>5000</v>
      </c>
      <c r="R13" s="34">
        <f>Q13+L13</f>
        <v>45000</v>
      </c>
      <c r="S13" s="34">
        <f>R13*C13</f>
        <v>1080000</v>
      </c>
    </row>
    <row r="14" spans="1:20" ht="18.75" x14ac:dyDescent="0.3">
      <c r="A14" s="9" t="s">
        <v>3</v>
      </c>
      <c r="B14" s="9">
        <v>500000</v>
      </c>
      <c r="C14" s="9">
        <v>24</v>
      </c>
      <c r="D14" s="33">
        <f t="shared" ref="D14:D18" si="7">B14/C14</f>
        <v>20833.333333333332</v>
      </c>
      <c r="E14" s="9">
        <v>200000</v>
      </c>
      <c r="F14" s="33">
        <f t="shared" ref="F14:F18" si="8">E14/C14</f>
        <v>8333.3333333333339</v>
      </c>
      <c r="G14" s="9">
        <f t="shared" ref="G14:G19" si="9">D14-F14</f>
        <v>12499.999999999998</v>
      </c>
      <c r="H14" s="9">
        <v>100</v>
      </c>
      <c r="I14" s="34">
        <v>2</v>
      </c>
      <c r="J14" s="34">
        <f t="shared" ref="J14:J18" si="10">I14*H14</f>
        <v>200</v>
      </c>
      <c r="K14" s="34">
        <v>200</v>
      </c>
      <c r="L14" s="34">
        <f t="shared" ref="L14:L18" si="11">J14*K14</f>
        <v>40000</v>
      </c>
      <c r="M14" s="34">
        <v>10</v>
      </c>
      <c r="N14" s="34">
        <v>2</v>
      </c>
      <c r="O14" s="34">
        <f t="shared" ref="O14:O18" si="12">M14*N14</f>
        <v>20</v>
      </c>
      <c r="P14" s="34">
        <v>250</v>
      </c>
      <c r="Q14" s="34">
        <f t="shared" ref="Q14:Q18" si="13">O14*P14</f>
        <v>5000</v>
      </c>
      <c r="R14" s="34">
        <f t="shared" ref="R14:R18" si="14">Q14+L14</f>
        <v>45000</v>
      </c>
      <c r="S14" s="34">
        <f t="shared" ref="S14:S18" si="15">R14*C14</f>
        <v>1080000</v>
      </c>
    </row>
    <row r="15" spans="1:20" ht="18.75" x14ac:dyDescent="0.3">
      <c r="A15" s="9" t="s">
        <v>4</v>
      </c>
      <c r="B15" s="9">
        <v>700000</v>
      </c>
      <c r="C15" s="9">
        <v>24</v>
      </c>
      <c r="D15" s="33">
        <f t="shared" si="7"/>
        <v>29166.666666666668</v>
      </c>
      <c r="E15" s="9">
        <v>350000</v>
      </c>
      <c r="F15" s="33">
        <f t="shared" si="8"/>
        <v>14583.333333333334</v>
      </c>
      <c r="G15" s="33">
        <f t="shared" si="9"/>
        <v>14583.333333333334</v>
      </c>
      <c r="H15" s="9">
        <v>70</v>
      </c>
      <c r="I15" s="34">
        <v>2</v>
      </c>
      <c r="J15" s="34">
        <f t="shared" si="10"/>
        <v>140</v>
      </c>
      <c r="K15" s="34">
        <v>200</v>
      </c>
      <c r="L15" s="34">
        <f t="shared" si="11"/>
        <v>28000</v>
      </c>
      <c r="M15" s="34">
        <v>10</v>
      </c>
      <c r="N15" s="34">
        <v>2</v>
      </c>
      <c r="O15" s="34">
        <f t="shared" si="12"/>
        <v>20</v>
      </c>
      <c r="P15" s="34">
        <v>250</v>
      </c>
      <c r="Q15" s="34">
        <f t="shared" si="13"/>
        <v>5000</v>
      </c>
      <c r="R15" s="34">
        <f t="shared" si="14"/>
        <v>33000</v>
      </c>
      <c r="S15" s="34">
        <f t="shared" si="15"/>
        <v>792000</v>
      </c>
    </row>
    <row r="16" spans="1:20" ht="18.75" x14ac:dyDescent="0.3">
      <c r="A16" s="9" t="s">
        <v>5</v>
      </c>
      <c r="B16" s="9">
        <v>450000</v>
      </c>
      <c r="C16" s="9">
        <v>24</v>
      </c>
      <c r="D16" s="9">
        <f t="shared" si="7"/>
        <v>18750</v>
      </c>
      <c r="E16" s="9">
        <v>150000</v>
      </c>
      <c r="F16" s="9">
        <f t="shared" si="8"/>
        <v>6250</v>
      </c>
      <c r="G16" s="9">
        <f t="shared" si="9"/>
        <v>12500</v>
      </c>
      <c r="H16" s="9">
        <v>70</v>
      </c>
      <c r="I16" s="34">
        <v>2</v>
      </c>
      <c r="J16" s="34">
        <f t="shared" si="10"/>
        <v>140</v>
      </c>
      <c r="K16" s="34">
        <v>200</v>
      </c>
      <c r="L16" s="34">
        <f t="shared" si="11"/>
        <v>28000</v>
      </c>
      <c r="M16" s="34">
        <v>10</v>
      </c>
      <c r="N16" s="34">
        <v>2</v>
      </c>
      <c r="O16" s="34">
        <f t="shared" si="12"/>
        <v>20</v>
      </c>
      <c r="P16" s="34">
        <v>250</v>
      </c>
      <c r="Q16" s="34">
        <f t="shared" si="13"/>
        <v>5000</v>
      </c>
      <c r="R16" s="34">
        <f t="shared" si="14"/>
        <v>33000</v>
      </c>
      <c r="S16" s="34">
        <f t="shared" si="15"/>
        <v>792000</v>
      </c>
    </row>
    <row r="17" spans="1:20" ht="18.75" x14ac:dyDescent="0.3">
      <c r="A17" s="9" t="s">
        <v>6</v>
      </c>
      <c r="B17" s="9">
        <v>600000</v>
      </c>
      <c r="C17" s="9">
        <v>24</v>
      </c>
      <c r="D17" s="9">
        <f t="shared" si="7"/>
        <v>25000</v>
      </c>
      <c r="E17" s="9">
        <v>150000</v>
      </c>
      <c r="F17" s="9">
        <f t="shared" si="8"/>
        <v>6250</v>
      </c>
      <c r="G17" s="9">
        <f t="shared" si="9"/>
        <v>18750</v>
      </c>
      <c r="H17" s="9">
        <v>60</v>
      </c>
      <c r="I17" s="34">
        <v>2</v>
      </c>
      <c r="J17" s="34">
        <f t="shared" si="10"/>
        <v>120</v>
      </c>
      <c r="K17" s="34">
        <v>200</v>
      </c>
      <c r="L17" s="34">
        <f t="shared" si="11"/>
        <v>24000</v>
      </c>
      <c r="M17" s="34">
        <v>10</v>
      </c>
      <c r="N17" s="34">
        <v>2</v>
      </c>
      <c r="O17" s="34">
        <f t="shared" si="12"/>
        <v>20</v>
      </c>
      <c r="P17" s="34">
        <v>250</v>
      </c>
      <c r="Q17" s="34">
        <f t="shared" si="13"/>
        <v>5000</v>
      </c>
      <c r="R17" s="34">
        <f t="shared" si="14"/>
        <v>29000</v>
      </c>
      <c r="S17" s="34">
        <f t="shared" si="15"/>
        <v>696000</v>
      </c>
    </row>
    <row r="18" spans="1:20" ht="18.75" x14ac:dyDescent="0.3">
      <c r="A18" s="9" t="s">
        <v>7</v>
      </c>
      <c r="B18" s="9">
        <v>600000</v>
      </c>
      <c r="C18" s="9">
        <v>24</v>
      </c>
      <c r="D18" s="9">
        <f t="shared" si="7"/>
        <v>25000</v>
      </c>
      <c r="E18" s="9">
        <v>150000</v>
      </c>
      <c r="F18" s="9">
        <f t="shared" si="8"/>
        <v>6250</v>
      </c>
      <c r="G18" s="9">
        <f t="shared" si="9"/>
        <v>18750</v>
      </c>
      <c r="H18" s="9">
        <v>50</v>
      </c>
      <c r="I18" s="34">
        <v>2</v>
      </c>
      <c r="J18" s="34">
        <f t="shared" si="10"/>
        <v>100</v>
      </c>
      <c r="K18" s="34">
        <v>200</v>
      </c>
      <c r="L18" s="34">
        <f t="shared" si="11"/>
        <v>20000</v>
      </c>
      <c r="M18" s="34">
        <v>10</v>
      </c>
      <c r="N18" s="34">
        <v>2</v>
      </c>
      <c r="O18" s="34">
        <f t="shared" si="12"/>
        <v>20</v>
      </c>
      <c r="P18" s="34">
        <v>250</v>
      </c>
      <c r="Q18" s="34">
        <f t="shared" si="13"/>
        <v>5000</v>
      </c>
      <c r="R18" s="34">
        <f t="shared" si="14"/>
        <v>25000</v>
      </c>
      <c r="S18" s="34">
        <f t="shared" si="15"/>
        <v>600000</v>
      </c>
    </row>
    <row r="19" spans="1:20" ht="18.75" x14ac:dyDescent="0.3">
      <c r="A19" s="8" t="s">
        <v>0</v>
      </c>
      <c r="B19" s="8">
        <f>SUM(B13:B18)</f>
        <v>3600000</v>
      </c>
      <c r="C19" s="39"/>
      <c r="D19" s="8">
        <f>AVERAGE(D13:D18)</f>
        <v>25000</v>
      </c>
      <c r="E19" s="8">
        <f>SUM(E13:E18)</f>
        <v>1350000</v>
      </c>
      <c r="F19" s="38">
        <f>AVERAGE(F13:F18)</f>
        <v>9375</v>
      </c>
      <c r="G19" s="8">
        <f t="shared" si="9"/>
        <v>15625</v>
      </c>
      <c r="H19" s="68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</row>
    <row r="20" spans="1:20" x14ac:dyDescent="0.25">
      <c r="H20" s="71"/>
    </row>
    <row r="21" spans="1:20" ht="18.75" x14ac:dyDescent="0.3">
      <c r="D21" s="8" t="s">
        <v>21</v>
      </c>
      <c r="G21" s="56" t="s">
        <v>42</v>
      </c>
      <c r="H21" s="58" t="s">
        <v>119</v>
      </c>
      <c r="I21" s="45"/>
      <c r="M21" s="27" t="s">
        <v>111</v>
      </c>
    </row>
    <row r="22" spans="1:20" ht="18.75" x14ac:dyDescent="0.3">
      <c r="A22" s="8" t="s">
        <v>1</v>
      </c>
      <c r="B22" s="8" t="s">
        <v>27</v>
      </c>
      <c r="C22" s="8" t="s">
        <v>23</v>
      </c>
      <c r="D22" s="8" t="s">
        <v>39</v>
      </c>
      <c r="E22" s="8" t="s">
        <v>41</v>
      </c>
      <c r="F22" s="18" t="s">
        <v>40</v>
      </c>
      <c r="G22" s="15" t="s">
        <v>25</v>
      </c>
      <c r="H22" s="57" t="s">
        <v>37</v>
      </c>
      <c r="I22" s="27" t="s">
        <v>43</v>
      </c>
      <c r="J22" s="54" t="s">
        <v>46</v>
      </c>
      <c r="K22" s="27" t="s">
        <v>33</v>
      </c>
      <c r="L22" s="27" t="s">
        <v>35</v>
      </c>
      <c r="M22" s="15" t="s">
        <v>36</v>
      </c>
      <c r="N22" s="27" t="s">
        <v>43</v>
      </c>
      <c r="O22" s="39" t="s">
        <v>46</v>
      </c>
      <c r="P22" s="39" t="s">
        <v>33</v>
      </c>
      <c r="Q22" s="27" t="s">
        <v>35</v>
      </c>
      <c r="R22" s="8" t="s">
        <v>45</v>
      </c>
      <c r="S22" s="39" t="s">
        <v>44</v>
      </c>
      <c r="T22" s="77" t="s">
        <v>109</v>
      </c>
    </row>
    <row r="23" spans="1:20" ht="18.75" x14ac:dyDescent="0.3">
      <c r="A23" s="9" t="s">
        <v>2</v>
      </c>
      <c r="B23" s="9">
        <v>800000</v>
      </c>
      <c r="C23" s="9">
        <v>24</v>
      </c>
      <c r="D23" s="33">
        <f>B23/C23</f>
        <v>33333.333333333336</v>
      </c>
      <c r="E23" s="9">
        <v>150000</v>
      </c>
      <c r="F23" s="33">
        <f>E23/C23</f>
        <v>6250</v>
      </c>
      <c r="G23" s="33">
        <f>D23-F23</f>
        <v>27083.333333333336</v>
      </c>
      <c r="H23" s="53">
        <v>300</v>
      </c>
      <c r="I23" s="55">
        <v>2</v>
      </c>
      <c r="J23" s="34">
        <f>H23*I23</f>
        <v>600</v>
      </c>
      <c r="K23" s="34">
        <v>80</v>
      </c>
      <c r="L23" s="34">
        <f>J23*K23</f>
        <v>48000</v>
      </c>
      <c r="M23" s="34">
        <v>10</v>
      </c>
      <c r="N23" s="34">
        <v>2</v>
      </c>
      <c r="O23" s="34">
        <f>M23*N23</f>
        <v>20</v>
      </c>
      <c r="P23" s="34">
        <v>200</v>
      </c>
      <c r="Q23" s="34">
        <f>O23*P23</f>
        <v>4000</v>
      </c>
      <c r="R23" s="34">
        <f>L23+Q23</f>
        <v>52000</v>
      </c>
      <c r="S23" s="34">
        <f>C23*R23</f>
        <v>1248000</v>
      </c>
      <c r="T23" s="34"/>
    </row>
    <row r="24" spans="1:20" ht="18.75" x14ac:dyDescent="0.3">
      <c r="A24" s="9" t="s">
        <v>3</v>
      </c>
      <c r="B24" s="9">
        <v>700000</v>
      </c>
      <c r="C24" s="9">
        <v>24</v>
      </c>
      <c r="D24" s="33">
        <f t="shared" ref="D24:D28" si="16">B24/C24</f>
        <v>29166.666666666668</v>
      </c>
      <c r="E24" s="9">
        <v>200000</v>
      </c>
      <c r="F24" s="33">
        <f t="shared" ref="F24:F28" si="17">E24/C24</f>
        <v>8333.3333333333339</v>
      </c>
      <c r="G24" s="33">
        <f t="shared" ref="G24:G28" si="18">D24-F24</f>
        <v>20833.333333333336</v>
      </c>
      <c r="H24" s="9">
        <v>300</v>
      </c>
      <c r="I24" s="34">
        <v>2</v>
      </c>
      <c r="J24" s="34">
        <f>H24*I24</f>
        <v>600</v>
      </c>
      <c r="K24" s="34">
        <v>80</v>
      </c>
      <c r="L24" s="34">
        <f t="shared" ref="L24" si="19">J24*K24</f>
        <v>48000</v>
      </c>
      <c r="M24" s="34">
        <v>10</v>
      </c>
      <c r="N24" s="34">
        <v>2</v>
      </c>
      <c r="O24" s="34">
        <f t="shared" ref="O24" si="20">M24*N24</f>
        <v>20</v>
      </c>
      <c r="P24" s="34">
        <v>200</v>
      </c>
      <c r="Q24" s="34">
        <f t="shared" ref="Q24" si="21">O24*P24</f>
        <v>4000</v>
      </c>
      <c r="R24" s="34">
        <f t="shared" ref="R24" si="22">L24+Q24</f>
        <v>52000</v>
      </c>
      <c r="S24" s="34">
        <f>C24*R24</f>
        <v>1248000</v>
      </c>
      <c r="T24" s="34"/>
    </row>
    <row r="25" spans="1:20" ht="18.75" x14ac:dyDescent="0.3">
      <c r="A25" s="9" t="s">
        <v>4</v>
      </c>
      <c r="B25" s="9">
        <v>800000</v>
      </c>
      <c r="C25" s="9">
        <v>24</v>
      </c>
      <c r="D25" s="33">
        <f t="shared" si="16"/>
        <v>33333.333333333336</v>
      </c>
      <c r="E25" s="9">
        <v>350000</v>
      </c>
      <c r="F25" s="33">
        <f t="shared" si="17"/>
        <v>14583.333333333334</v>
      </c>
      <c r="G25" s="33">
        <f t="shared" si="18"/>
        <v>18750</v>
      </c>
      <c r="H25" s="9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</row>
    <row r="26" spans="1:20" ht="18.75" x14ac:dyDescent="0.3">
      <c r="A26" s="9" t="s">
        <v>5</v>
      </c>
      <c r="B26" s="9">
        <v>750000</v>
      </c>
      <c r="C26" s="9">
        <v>24</v>
      </c>
      <c r="D26" s="9">
        <f t="shared" si="16"/>
        <v>31250</v>
      </c>
      <c r="E26" s="9">
        <v>150000</v>
      </c>
      <c r="F26" s="9">
        <f t="shared" si="17"/>
        <v>6250</v>
      </c>
      <c r="G26" s="9">
        <f t="shared" si="18"/>
        <v>25000</v>
      </c>
      <c r="H26" s="9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</row>
    <row r="27" spans="1:20" ht="18.75" x14ac:dyDescent="0.3">
      <c r="A27" s="9" t="s">
        <v>6</v>
      </c>
      <c r="B27" s="9">
        <v>750000</v>
      </c>
      <c r="C27" s="9">
        <v>24</v>
      </c>
      <c r="D27" s="9">
        <f t="shared" si="16"/>
        <v>31250</v>
      </c>
      <c r="E27" s="9">
        <v>150000</v>
      </c>
      <c r="F27" s="9">
        <f t="shared" si="17"/>
        <v>6250</v>
      </c>
      <c r="G27" s="9">
        <f t="shared" si="18"/>
        <v>25000</v>
      </c>
      <c r="H27" s="9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</row>
    <row r="28" spans="1:20" ht="18.75" x14ac:dyDescent="0.3">
      <c r="A28" s="9" t="s">
        <v>7</v>
      </c>
      <c r="B28" s="9">
        <v>750000</v>
      </c>
      <c r="C28" s="9">
        <v>24</v>
      </c>
      <c r="D28" s="9">
        <f t="shared" si="16"/>
        <v>31250</v>
      </c>
      <c r="E28" s="9">
        <v>150000</v>
      </c>
      <c r="F28" s="9">
        <f t="shared" si="17"/>
        <v>6250</v>
      </c>
      <c r="G28" s="9">
        <f t="shared" si="18"/>
        <v>25000</v>
      </c>
      <c r="H28" s="9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</row>
    <row r="29" spans="1:20" ht="18.75" x14ac:dyDescent="0.3">
      <c r="A29" s="8" t="s">
        <v>0</v>
      </c>
      <c r="B29" s="8">
        <f>SUM(B23:B28)</f>
        <v>4550000</v>
      </c>
      <c r="C29" s="35"/>
      <c r="D29" s="38">
        <f>AVERAGE(D23:D28)</f>
        <v>31597.222222222223</v>
      </c>
      <c r="E29" s="8">
        <f>SUM(E23:E28)</f>
        <v>1150000</v>
      </c>
      <c r="F29" s="38">
        <f>AVERAGE(F23:F28)</f>
        <v>7986.1111111111122</v>
      </c>
      <c r="G29" s="38">
        <f>AVERAGE(G23:G28)</f>
        <v>23611.111111111113</v>
      </c>
      <c r="H29" s="68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4"/>
    </row>
    <row r="30" spans="1:20" x14ac:dyDescent="0.25">
      <c r="H30" s="71"/>
    </row>
    <row r="31" spans="1:20" ht="18.75" x14ac:dyDescent="0.3">
      <c r="D31" s="8" t="s">
        <v>11</v>
      </c>
      <c r="G31" s="56" t="s">
        <v>38</v>
      </c>
      <c r="H31" s="62" t="s">
        <v>116</v>
      </c>
      <c r="I31" s="19"/>
    </row>
    <row r="32" spans="1:20" ht="18.75" x14ac:dyDescent="0.3">
      <c r="A32" s="8" t="s">
        <v>1</v>
      </c>
      <c r="B32" s="8" t="s">
        <v>26</v>
      </c>
      <c r="C32" s="8" t="s">
        <v>23</v>
      </c>
      <c r="D32" s="8" t="s">
        <v>39</v>
      </c>
      <c r="E32" s="8" t="s">
        <v>41</v>
      </c>
      <c r="F32" s="18" t="s">
        <v>40</v>
      </c>
      <c r="G32" s="15" t="s">
        <v>25</v>
      </c>
      <c r="H32" s="63" t="s">
        <v>37</v>
      </c>
      <c r="I32" s="27" t="s">
        <v>43</v>
      </c>
      <c r="J32" s="54" t="s">
        <v>46</v>
      </c>
      <c r="K32" s="27" t="s">
        <v>33</v>
      </c>
      <c r="L32" s="27" t="s">
        <v>35</v>
      </c>
      <c r="M32" s="59" t="s">
        <v>12</v>
      </c>
      <c r="N32" s="27"/>
      <c r="O32" s="45"/>
      <c r="P32" s="37"/>
      <c r="Q32" s="45"/>
      <c r="R32" s="45"/>
      <c r="S32" s="45"/>
    </row>
    <row r="33" spans="1:22" ht="18.75" x14ac:dyDescent="0.3">
      <c r="A33" s="9" t="s">
        <v>2</v>
      </c>
      <c r="B33" s="9">
        <v>550000</v>
      </c>
      <c r="C33" s="9">
        <v>18</v>
      </c>
      <c r="D33" s="33">
        <f>B33/C33</f>
        <v>30555.555555555555</v>
      </c>
      <c r="E33" s="9">
        <v>150000</v>
      </c>
      <c r="F33" s="33">
        <f>E33/C33</f>
        <v>8333.3333333333339</v>
      </c>
      <c r="G33" s="64">
        <f>D33-F33</f>
        <v>22222.222222222219</v>
      </c>
      <c r="H33" s="53">
        <v>125</v>
      </c>
      <c r="I33" s="55">
        <v>4</v>
      </c>
      <c r="J33" s="34">
        <f>I33*H33</f>
        <v>500</v>
      </c>
      <c r="K33" s="34">
        <v>150</v>
      </c>
      <c r="L33" s="34">
        <f>J33*K33</f>
        <v>75000</v>
      </c>
      <c r="M33" s="60">
        <f>L33*C33</f>
        <v>1350000</v>
      </c>
      <c r="N33" s="34"/>
      <c r="O33" s="23"/>
      <c r="P33" s="23"/>
      <c r="Q33" s="23"/>
      <c r="R33" s="23"/>
      <c r="S33" s="23"/>
      <c r="T33" s="26"/>
    </row>
    <row r="34" spans="1:22" ht="18.75" x14ac:dyDescent="0.3">
      <c r="A34" s="9" t="s">
        <v>3</v>
      </c>
      <c r="B34" s="9">
        <v>550000</v>
      </c>
      <c r="C34" s="9">
        <v>18</v>
      </c>
      <c r="D34" s="33">
        <f t="shared" ref="D34:D38" si="23">B34/C34</f>
        <v>30555.555555555555</v>
      </c>
      <c r="E34" s="9">
        <v>200000</v>
      </c>
      <c r="F34" s="33">
        <f t="shared" ref="F34:F38" si="24">E34/C34</f>
        <v>11111.111111111111</v>
      </c>
      <c r="G34" s="33">
        <f t="shared" ref="G34:G38" si="25">D34-F34</f>
        <v>19444.444444444445</v>
      </c>
      <c r="H34" s="9">
        <v>100</v>
      </c>
      <c r="I34" s="34">
        <v>4</v>
      </c>
      <c r="J34" s="34">
        <f>I34*H34</f>
        <v>400</v>
      </c>
      <c r="K34" s="34">
        <v>150</v>
      </c>
      <c r="L34" s="34">
        <f t="shared" ref="L34:L38" si="26">J34*K34</f>
        <v>60000</v>
      </c>
      <c r="M34" s="60">
        <f>L34*C34</f>
        <v>1080000</v>
      </c>
      <c r="N34" s="34"/>
      <c r="O34" s="23"/>
      <c r="P34" s="23"/>
      <c r="Q34" s="23"/>
      <c r="R34" s="23"/>
      <c r="S34" s="78"/>
      <c r="T34" s="26"/>
      <c r="U34" s="79"/>
      <c r="V34" s="26"/>
    </row>
    <row r="35" spans="1:22" ht="18.75" x14ac:dyDescent="0.3">
      <c r="A35" s="9" t="s">
        <v>4</v>
      </c>
      <c r="B35" s="9">
        <v>625000</v>
      </c>
      <c r="C35" s="9">
        <v>18</v>
      </c>
      <c r="D35" s="33">
        <f t="shared" si="23"/>
        <v>34722.222222222219</v>
      </c>
      <c r="E35" s="9">
        <v>350000</v>
      </c>
      <c r="F35" s="33">
        <f t="shared" si="24"/>
        <v>19444.444444444445</v>
      </c>
      <c r="G35" s="33">
        <f t="shared" si="25"/>
        <v>15277.777777777774</v>
      </c>
      <c r="H35" s="9">
        <v>75</v>
      </c>
      <c r="I35" s="34">
        <v>4</v>
      </c>
      <c r="J35" s="34">
        <f>I35*H35</f>
        <v>300</v>
      </c>
      <c r="K35" s="34">
        <v>150</v>
      </c>
      <c r="L35" s="34">
        <f t="shared" si="26"/>
        <v>45000</v>
      </c>
      <c r="M35" s="60">
        <f>L35*C35</f>
        <v>810000</v>
      </c>
      <c r="N35" s="34"/>
      <c r="O35" s="23"/>
      <c r="P35" s="23"/>
      <c r="Q35" s="23"/>
      <c r="R35" s="23"/>
      <c r="S35" s="78"/>
      <c r="T35" s="26"/>
    </row>
    <row r="36" spans="1:22" ht="18.75" x14ac:dyDescent="0.3">
      <c r="A36" s="9" t="s">
        <v>5</v>
      </c>
      <c r="B36" s="9">
        <v>600000</v>
      </c>
      <c r="C36" s="9">
        <v>18</v>
      </c>
      <c r="D36" s="33">
        <f t="shared" si="23"/>
        <v>33333.333333333336</v>
      </c>
      <c r="E36" s="9">
        <v>150000</v>
      </c>
      <c r="F36" s="33">
        <f t="shared" si="24"/>
        <v>8333.3333333333339</v>
      </c>
      <c r="G36" s="9">
        <f t="shared" si="25"/>
        <v>25000</v>
      </c>
      <c r="H36" s="9">
        <v>75</v>
      </c>
      <c r="I36" s="34">
        <v>4</v>
      </c>
      <c r="J36" s="34">
        <f t="shared" ref="J36:J38" si="27">I36*H36</f>
        <v>300</v>
      </c>
      <c r="K36" s="34">
        <v>150</v>
      </c>
      <c r="L36" s="34">
        <f t="shared" si="26"/>
        <v>45000</v>
      </c>
      <c r="M36" s="60">
        <f t="shared" ref="M36:M38" si="28">L36*C36</f>
        <v>810000</v>
      </c>
      <c r="N36" s="34"/>
      <c r="O36" s="23"/>
      <c r="P36" s="23"/>
      <c r="Q36" s="23"/>
      <c r="R36" s="23"/>
      <c r="S36" s="23"/>
      <c r="T36" s="26"/>
    </row>
    <row r="37" spans="1:22" ht="18.75" x14ac:dyDescent="0.3">
      <c r="A37" s="9" t="s">
        <v>6</v>
      </c>
      <c r="B37" s="9">
        <v>600000</v>
      </c>
      <c r="C37" s="9">
        <v>18</v>
      </c>
      <c r="D37" s="33">
        <f t="shared" si="23"/>
        <v>33333.333333333336</v>
      </c>
      <c r="E37" s="9">
        <v>150000</v>
      </c>
      <c r="F37" s="33">
        <f t="shared" si="24"/>
        <v>8333.3333333333339</v>
      </c>
      <c r="G37" s="9">
        <f t="shared" si="25"/>
        <v>25000</v>
      </c>
      <c r="H37" s="9">
        <v>75</v>
      </c>
      <c r="I37" s="34">
        <v>4</v>
      </c>
      <c r="J37" s="34">
        <f t="shared" si="27"/>
        <v>300</v>
      </c>
      <c r="K37" s="34">
        <v>150</v>
      </c>
      <c r="L37" s="34">
        <f t="shared" si="26"/>
        <v>45000</v>
      </c>
      <c r="M37" s="60">
        <f t="shared" si="28"/>
        <v>810000</v>
      </c>
      <c r="N37" s="34"/>
      <c r="O37" s="23"/>
      <c r="P37" s="23"/>
      <c r="Q37" s="23"/>
      <c r="R37" s="23"/>
      <c r="S37" s="23"/>
    </row>
    <row r="38" spans="1:22" ht="18.75" x14ac:dyDescent="0.3">
      <c r="A38" s="9" t="s">
        <v>7</v>
      </c>
      <c r="B38" s="9">
        <v>600000</v>
      </c>
      <c r="C38" s="9">
        <v>18</v>
      </c>
      <c r="D38" s="33">
        <f t="shared" si="23"/>
        <v>33333.333333333336</v>
      </c>
      <c r="E38" s="9">
        <v>150000</v>
      </c>
      <c r="F38" s="33">
        <f t="shared" si="24"/>
        <v>8333.3333333333339</v>
      </c>
      <c r="G38" s="9">
        <f t="shared" si="25"/>
        <v>25000</v>
      </c>
      <c r="H38" s="9">
        <v>50</v>
      </c>
      <c r="I38" s="34">
        <v>4</v>
      </c>
      <c r="J38" s="34">
        <f t="shared" si="27"/>
        <v>200</v>
      </c>
      <c r="K38" s="34">
        <v>150</v>
      </c>
      <c r="L38" s="34">
        <f t="shared" si="26"/>
        <v>30000</v>
      </c>
      <c r="M38" s="60">
        <f t="shared" si="28"/>
        <v>540000</v>
      </c>
      <c r="N38" s="34"/>
      <c r="O38" s="23"/>
      <c r="P38" s="23"/>
      <c r="Q38" s="23"/>
      <c r="R38" s="23"/>
      <c r="S38" s="23"/>
    </row>
    <row r="39" spans="1:22" ht="18.75" x14ac:dyDescent="0.3">
      <c r="A39" s="8" t="s">
        <v>0</v>
      </c>
      <c r="B39" s="8">
        <f>SUM(B33:B38)</f>
        <v>3525000</v>
      </c>
      <c r="C39" s="43"/>
      <c r="D39" s="44">
        <f>AVERAGE(D33:D38)</f>
        <v>32638.888888888891</v>
      </c>
      <c r="E39" s="41">
        <f>SUM(E33:E38)</f>
        <v>1150000</v>
      </c>
      <c r="F39" s="44">
        <f>AVERAGE(F33:F38)</f>
        <v>10648.14814814815</v>
      </c>
      <c r="G39" s="44">
        <f>AVERAGE(G33:G38)</f>
        <v>21990.740740740741</v>
      </c>
      <c r="H39" s="68"/>
      <c r="I39" s="35"/>
      <c r="J39" s="35"/>
      <c r="K39" s="35"/>
      <c r="L39" s="35"/>
      <c r="M39" s="61"/>
      <c r="N39" s="34"/>
      <c r="O39" s="37"/>
      <c r="P39" s="37"/>
      <c r="Q39" s="37"/>
      <c r="R39" s="37"/>
      <c r="S39" s="37"/>
    </row>
    <row r="40" spans="1:22" x14ac:dyDescent="0.25">
      <c r="H40" s="71"/>
    </row>
    <row r="41" spans="1:22" ht="18.75" x14ac:dyDescent="0.3">
      <c r="D41" s="2" t="s">
        <v>13</v>
      </c>
      <c r="H41" s="71"/>
    </row>
    <row r="42" spans="1:22" ht="18.75" x14ac:dyDescent="0.3">
      <c r="A42" s="8" t="s">
        <v>1</v>
      </c>
      <c r="B42" s="8" t="s">
        <v>26</v>
      </c>
      <c r="C42" s="34" t="s">
        <v>28</v>
      </c>
      <c r="D42" s="34" t="s">
        <v>29</v>
      </c>
      <c r="E42" s="34" t="s">
        <v>30</v>
      </c>
      <c r="F42" s="34" t="s">
        <v>31</v>
      </c>
      <c r="G42" s="34"/>
      <c r="H42" s="71" t="s">
        <v>14</v>
      </c>
    </row>
    <row r="43" spans="1:22" ht="18.75" x14ac:dyDescent="0.3">
      <c r="A43" s="9" t="s">
        <v>2</v>
      </c>
      <c r="B43" s="9">
        <v>0</v>
      </c>
      <c r="C43" s="9">
        <f>D43*E43</f>
        <v>600000</v>
      </c>
      <c r="D43" s="9">
        <v>4000</v>
      </c>
      <c r="E43" s="34">
        <v>150</v>
      </c>
      <c r="F43" s="34">
        <v>0</v>
      </c>
      <c r="G43" s="34">
        <f>F43*D43</f>
        <v>0</v>
      </c>
    </row>
    <row r="44" spans="1:22" ht="18.75" x14ac:dyDescent="0.3">
      <c r="A44" s="9" t="s">
        <v>3</v>
      </c>
      <c r="B44" s="9">
        <v>0</v>
      </c>
      <c r="C44" s="9">
        <f t="shared" ref="C44:C48" si="29">D44*E44</f>
        <v>400000</v>
      </c>
      <c r="D44" s="9">
        <v>4000</v>
      </c>
      <c r="E44" s="34">
        <v>100</v>
      </c>
      <c r="F44" s="34">
        <v>0</v>
      </c>
      <c r="G44" s="34">
        <f t="shared" ref="G44:G48" si="30">F44*D44</f>
        <v>0</v>
      </c>
    </row>
    <row r="45" spans="1:22" ht="18.75" x14ac:dyDescent="0.3">
      <c r="A45" s="9" t="s">
        <v>4</v>
      </c>
      <c r="B45" s="9">
        <v>0</v>
      </c>
      <c r="C45" s="9">
        <f t="shared" si="29"/>
        <v>400000</v>
      </c>
      <c r="D45" s="9">
        <v>4000</v>
      </c>
      <c r="E45" s="34">
        <v>100</v>
      </c>
      <c r="F45" s="34">
        <v>0</v>
      </c>
      <c r="G45" s="34">
        <f t="shared" si="30"/>
        <v>0</v>
      </c>
    </row>
    <row r="46" spans="1:22" ht="18.75" x14ac:dyDescent="0.3">
      <c r="A46" s="9" t="s">
        <v>5</v>
      </c>
      <c r="B46" s="9">
        <v>0</v>
      </c>
      <c r="C46" s="9">
        <f t="shared" si="29"/>
        <v>400000</v>
      </c>
      <c r="D46" s="9">
        <v>4000</v>
      </c>
      <c r="E46" s="34">
        <v>100</v>
      </c>
      <c r="F46" s="34">
        <v>0</v>
      </c>
      <c r="G46" s="34">
        <f t="shared" si="30"/>
        <v>0</v>
      </c>
    </row>
    <row r="47" spans="1:22" ht="18.75" x14ac:dyDescent="0.3">
      <c r="A47" s="9" t="s">
        <v>6</v>
      </c>
      <c r="B47" s="9">
        <v>0</v>
      </c>
      <c r="C47" s="9">
        <f t="shared" si="29"/>
        <v>400000</v>
      </c>
      <c r="D47" s="9">
        <v>4000</v>
      </c>
      <c r="E47" s="34">
        <v>100</v>
      </c>
      <c r="F47" s="34">
        <v>0</v>
      </c>
      <c r="G47" s="34">
        <f t="shared" si="30"/>
        <v>0</v>
      </c>
    </row>
    <row r="48" spans="1:22" ht="18.75" x14ac:dyDescent="0.3">
      <c r="A48" s="9" t="s">
        <v>7</v>
      </c>
      <c r="B48" s="9">
        <v>12000000</v>
      </c>
      <c r="C48" s="9">
        <f t="shared" si="29"/>
        <v>400000</v>
      </c>
      <c r="D48" s="9">
        <v>4000</v>
      </c>
      <c r="E48" s="34">
        <v>100</v>
      </c>
      <c r="F48" s="34">
        <v>3000</v>
      </c>
      <c r="G48" s="34">
        <f t="shared" si="30"/>
        <v>12000000</v>
      </c>
    </row>
    <row r="49" spans="1:7" ht="18.75" x14ac:dyDescent="0.3">
      <c r="A49" s="8" t="s">
        <v>0</v>
      </c>
      <c r="B49" s="8">
        <f>SUM(B43:B48)</f>
        <v>12000000</v>
      </c>
      <c r="C49" s="40">
        <f>SUM(C43:C48)</f>
        <v>2600000</v>
      </c>
      <c r="D49" s="41">
        <v>4000</v>
      </c>
      <c r="E49" s="42">
        <f>SUM(E43:E48)</f>
        <v>650</v>
      </c>
      <c r="F49" s="40"/>
      <c r="G49" s="40">
        <v>2600000</v>
      </c>
    </row>
    <row r="50" spans="1:7" ht="18.75" x14ac:dyDescent="0.3">
      <c r="G50" s="81">
        <f>G48-G49</f>
        <v>9400000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Views>
    <sheetView tabSelected="1" topLeftCell="A75" zoomScale="90" zoomScaleNormal="90" workbookViewId="0">
      <selection activeCell="J81" sqref="J81"/>
    </sheetView>
  </sheetViews>
  <sheetFormatPr defaultRowHeight="15" x14ac:dyDescent="0.25"/>
  <cols>
    <col min="1" max="1" width="8.42578125" bestFit="1" customWidth="1"/>
    <col min="2" max="2" width="27.5703125" bestFit="1" customWidth="1"/>
    <col min="3" max="3" width="22" bestFit="1" customWidth="1"/>
    <col min="4" max="4" width="15.140625" bestFit="1" customWidth="1"/>
    <col min="5" max="6" width="15.5703125" bestFit="1" customWidth="1"/>
    <col min="7" max="7" width="12.7109375" bestFit="1" customWidth="1"/>
    <col min="8" max="8" width="5.85546875" customWidth="1"/>
    <col min="9" max="9" width="19.5703125" bestFit="1" customWidth="1"/>
    <col min="10" max="10" width="22" bestFit="1" customWidth="1"/>
    <col min="11" max="11" width="15" bestFit="1" customWidth="1"/>
    <col min="12" max="12" width="10.5703125" bestFit="1" customWidth="1"/>
    <col min="13" max="13" width="12.85546875" bestFit="1" customWidth="1"/>
  </cols>
  <sheetData>
    <row r="1" spans="1:13" ht="18.75" thickBot="1" x14ac:dyDescent="0.3">
      <c r="A1" s="135"/>
      <c r="B1" s="136" t="s">
        <v>75</v>
      </c>
      <c r="C1" s="136" t="s">
        <v>76</v>
      </c>
      <c r="D1" s="136"/>
      <c r="E1" s="136"/>
      <c r="F1" s="136"/>
    </row>
    <row r="2" spans="1:13" ht="18.75" thickBot="1" x14ac:dyDescent="0.3">
      <c r="A2" s="137" t="s">
        <v>77</v>
      </c>
      <c r="B2" s="138" t="s">
        <v>78</v>
      </c>
      <c r="C2" s="138" t="s">
        <v>27</v>
      </c>
      <c r="D2" s="138" t="s">
        <v>79</v>
      </c>
      <c r="E2" s="138" t="s">
        <v>42</v>
      </c>
      <c r="F2" s="138" t="s">
        <v>80</v>
      </c>
      <c r="H2" s="72"/>
      <c r="I2" s="73" t="s">
        <v>75</v>
      </c>
      <c r="J2" s="73" t="s">
        <v>76</v>
      </c>
      <c r="K2" s="73"/>
      <c r="L2" s="73"/>
      <c r="M2" s="73"/>
    </row>
    <row r="3" spans="1:13" ht="21" thickBot="1" x14ac:dyDescent="0.3">
      <c r="A3" s="137" t="s">
        <v>128</v>
      </c>
      <c r="B3" s="138" t="s">
        <v>82</v>
      </c>
      <c r="C3" s="138">
        <v>1184000</v>
      </c>
      <c r="D3" s="138">
        <v>350000</v>
      </c>
      <c r="E3" s="138">
        <f>C3-D3</f>
        <v>834000</v>
      </c>
      <c r="F3" s="138">
        <v>834000</v>
      </c>
      <c r="H3" s="82" t="s">
        <v>77</v>
      </c>
      <c r="I3" s="74" t="s">
        <v>78</v>
      </c>
      <c r="J3" s="74" t="s">
        <v>27</v>
      </c>
      <c r="K3" s="74" t="s">
        <v>79</v>
      </c>
      <c r="L3" s="74" t="s">
        <v>42</v>
      </c>
      <c r="M3" s="74" t="s">
        <v>80</v>
      </c>
    </row>
    <row r="4" spans="1:13" ht="21" thickBot="1" x14ac:dyDescent="0.3">
      <c r="A4" s="137" t="s">
        <v>129</v>
      </c>
      <c r="B4" s="138" t="s">
        <v>82</v>
      </c>
      <c r="C4" s="138">
        <v>1184000</v>
      </c>
      <c r="D4" s="138">
        <v>250000</v>
      </c>
      <c r="E4" s="138">
        <f>C4-D4</f>
        <v>934000</v>
      </c>
      <c r="F4" s="138">
        <f t="shared" ref="F4:F9" si="0">F3+E4</f>
        <v>1768000</v>
      </c>
      <c r="H4" s="82" t="s">
        <v>81</v>
      </c>
      <c r="I4" s="74" t="s">
        <v>82</v>
      </c>
      <c r="J4" s="74">
        <v>750000</v>
      </c>
      <c r="K4" s="74">
        <v>350000</v>
      </c>
      <c r="L4" s="74">
        <v>400000</v>
      </c>
      <c r="M4" s="74">
        <v>400000</v>
      </c>
    </row>
    <row r="5" spans="1:13" ht="21" thickBot="1" x14ac:dyDescent="0.3">
      <c r="A5" s="137" t="s">
        <v>129</v>
      </c>
      <c r="B5" s="138" t="s">
        <v>84</v>
      </c>
      <c r="C5" s="138">
        <v>384000</v>
      </c>
      <c r="D5" s="138">
        <v>100000</v>
      </c>
      <c r="E5" s="138">
        <f>C5-D5</f>
        <v>284000</v>
      </c>
      <c r="F5" s="138">
        <f t="shared" si="0"/>
        <v>2052000</v>
      </c>
      <c r="H5" s="82" t="s">
        <v>83</v>
      </c>
      <c r="I5" s="74" t="s">
        <v>82</v>
      </c>
      <c r="J5" s="74">
        <v>450000</v>
      </c>
      <c r="K5" s="74">
        <v>100000</v>
      </c>
      <c r="L5" s="74">
        <v>350000</v>
      </c>
      <c r="M5" s="74">
        <v>750000</v>
      </c>
    </row>
    <row r="6" spans="1:13" ht="21" thickBot="1" x14ac:dyDescent="0.3">
      <c r="A6" s="137" t="s">
        <v>130</v>
      </c>
      <c r="B6" s="138" t="s">
        <v>84</v>
      </c>
      <c r="C6" s="138">
        <v>768000</v>
      </c>
      <c r="D6" s="138">
        <v>100000</v>
      </c>
      <c r="E6" s="138">
        <f t="shared" ref="E6:E9" si="1">C6-D6</f>
        <v>668000</v>
      </c>
      <c r="F6" s="138">
        <f t="shared" si="0"/>
        <v>2720000</v>
      </c>
      <c r="H6" s="82" t="s">
        <v>83</v>
      </c>
      <c r="I6" s="74" t="s">
        <v>84</v>
      </c>
      <c r="J6" s="74">
        <v>300000</v>
      </c>
      <c r="K6" s="74">
        <v>50000</v>
      </c>
      <c r="L6" s="74">
        <v>250000</v>
      </c>
      <c r="M6" s="74">
        <v>1000000</v>
      </c>
    </row>
    <row r="7" spans="1:13" ht="21" thickBot="1" x14ac:dyDescent="0.3">
      <c r="A7" s="137" t="s">
        <v>131</v>
      </c>
      <c r="B7" s="138" t="s">
        <v>84</v>
      </c>
      <c r="C7" s="138">
        <v>960000</v>
      </c>
      <c r="D7" s="138">
        <v>100000</v>
      </c>
      <c r="E7" s="138">
        <f t="shared" si="1"/>
        <v>860000</v>
      </c>
      <c r="F7" s="138">
        <f t="shared" si="0"/>
        <v>3580000</v>
      </c>
      <c r="H7" s="82" t="s">
        <v>85</v>
      </c>
      <c r="I7" s="74" t="s">
        <v>84</v>
      </c>
      <c r="J7" s="74">
        <v>600000</v>
      </c>
      <c r="K7" s="74">
        <v>100000</v>
      </c>
      <c r="L7" s="74">
        <v>500000</v>
      </c>
      <c r="M7" s="74">
        <v>1500000</v>
      </c>
    </row>
    <row r="8" spans="1:13" ht="21" thickBot="1" x14ac:dyDescent="0.3">
      <c r="A8" s="137" t="s">
        <v>132</v>
      </c>
      <c r="B8" s="138" t="s">
        <v>84</v>
      </c>
      <c r="C8" s="138">
        <v>960000</v>
      </c>
      <c r="D8" s="138">
        <v>100000</v>
      </c>
      <c r="E8" s="138">
        <f t="shared" si="1"/>
        <v>860000</v>
      </c>
      <c r="F8" s="138">
        <f t="shared" si="0"/>
        <v>4440000</v>
      </c>
      <c r="H8" s="82" t="s">
        <v>86</v>
      </c>
      <c r="I8" s="74" t="s">
        <v>84</v>
      </c>
      <c r="J8" s="74">
        <v>700000</v>
      </c>
      <c r="K8" s="74">
        <v>100000</v>
      </c>
      <c r="L8" s="74">
        <v>600000</v>
      </c>
      <c r="M8" s="74">
        <v>2100000</v>
      </c>
    </row>
    <row r="9" spans="1:13" ht="21" thickBot="1" x14ac:dyDescent="0.3">
      <c r="A9" s="137" t="s">
        <v>133</v>
      </c>
      <c r="B9" s="138" t="s">
        <v>84</v>
      </c>
      <c r="C9" s="138">
        <v>960000</v>
      </c>
      <c r="D9" s="138">
        <v>100000</v>
      </c>
      <c r="E9" s="138">
        <f t="shared" si="1"/>
        <v>860000</v>
      </c>
      <c r="F9" s="138">
        <f t="shared" si="0"/>
        <v>5300000</v>
      </c>
      <c r="H9" s="82" t="s">
        <v>87</v>
      </c>
      <c r="I9" s="74" t="s">
        <v>84</v>
      </c>
      <c r="J9" s="74">
        <v>900000</v>
      </c>
      <c r="K9" s="74">
        <v>100000</v>
      </c>
      <c r="L9" s="74">
        <v>800000</v>
      </c>
      <c r="M9" s="74">
        <v>2900000</v>
      </c>
    </row>
    <row r="10" spans="1:13" ht="18.75" thickBot="1" x14ac:dyDescent="0.3">
      <c r="A10" s="139"/>
      <c r="B10" s="140" t="s">
        <v>0</v>
      </c>
      <c r="C10" s="140">
        <f>SUM(C3:C9)</f>
        <v>6400000</v>
      </c>
      <c r="D10" s="140">
        <f>SUM(D3:D9)</f>
        <v>1100000</v>
      </c>
      <c r="E10" s="140">
        <f>SUM(E3:E9)</f>
        <v>5300000</v>
      </c>
      <c r="F10" s="140"/>
      <c r="H10" s="82" t="s">
        <v>88</v>
      </c>
      <c r="I10" s="74" t="s">
        <v>84</v>
      </c>
      <c r="J10" s="74">
        <v>900000</v>
      </c>
      <c r="K10" s="74">
        <v>100000</v>
      </c>
      <c r="L10" s="74">
        <v>800000</v>
      </c>
      <c r="M10" s="74">
        <v>3700000</v>
      </c>
    </row>
    <row r="11" spans="1:13" ht="18" x14ac:dyDescent="0.25">
      <c r="A11" s="141"/>
      <c r="B11" s="141"/>
      <c r="C11" s="141"/>
      <c r="D11" s="141"/>
      <c r="E11" s="141"/>
      <c r="F11" s="141"/>
      <c r="H11" s="75"/>
      <c r="I11" s="76" t="s">
        <v>0</v>
      </c>
      <c r="J11" s="76">
        <v>4600000</v>
      </c>
      <c r="K11" s="76">
        <v>900000</v>
      </c>
      <c r="L11" s="76">
        <v>3700000</v>
      </c>
      <c r="M11" s="76"/>
    </row>
    <row r="12" spans="1:13" ht="18.75" thickBot="1" x14ac:dyDescent="0.3">
      <c r="A12" s="141"/>
      <c r="B12" s="141"/>
      <c r="C12" s="141"/>
      <c r="D12" s="141"/>
      <c r="E12" s="141"/>
      <c r="F12" s="141"/>
    </row>
    <row r="13" spans="1:13" ht="18.75" thickBot="1" x14ac:dyDescent="0.3">
      <c r="A13" s="135"/>
      <c r="B13" s="136" t="s">
        <v>89</v>
      </c>
      <c r="C13" s="136" t="s">
        <v>90</v>
      </c>
      <c r="D13" s="136"/>
      <c r="E13" s="136"/>
      <c r="F13" s="136"/>
      <c r="H13" s="72"/>
      <c r="I13" s="73" t="s">
        <v>89</v>
      </c>
      <c r="J13" s="73" t="s">
        <v>90</v>
      </c>
      <c r="K13" s="73"/>
      <c r="L13" s="73"/>
      <c r="M13" s="73"/>
    </row>
    <row r="14" spans="1:13" ht="18.75" thickBot="1" x14ac:dyDescent="0.3">
      <c r="A14" s="137" t="s">
        <v>77</v>
      </c>
      <c r="B14" s="138" t="s">
        <v>78</v>
      </c>
      <c r="C14" s="138" t="s">
        <v>27</v>
      </c>
      <c r="D14" s="138" t="s">
        <v>79</v>
      </c>
      <c r="E14" s="138" t="s">
        <v>42</v>
      </c>
      <c r="F14" s="138" t="s">
        <v>80</v>
      </c>
      <c r="H14" s="82" t="s">
        <v>77</v>
      </c>
      <c r="I14" s="74" t="s">
        <v>78</v>
      </c>
      <c r="J14" s="74" t="s">
        <v>27</v>
      </c>
      <c r="K14" s="74" t="s">
        <v>79</v>
      </c>
      <c r="L14" s="74" t="s">
        <v>42</v>
      </c>
      <c r="M14" s="74" t="s">
        <v>80</v>
      </c>
    </row>
    <row r="15" spans="1:13" ht="18.75" thickBot="1" x14ac:dyDescent="0.3">
      <c r="A15" s="137" t="s">
        <v>2</v>
      </c>
      <c r="B15" s="138" t="s">
        <v>96</v>
      </c>
      <c r="C15" s="138">
        <v>1080000</v>
      </c>
      <c r="D15" s="138">
        <v>250000</v>
      </c>
      <c r="E15" s="138">
        <f>C15-D15</f>
        <v>830000</v>
      </c>
      <c r="F15" s="138">
        <v>830000</v>
      </c>
      <c r="H15" s="82" t="s">
        <v>2</v>
      </c>
      <c r="I15" s="74" t="s">
        <v>127</v>
      </c>
      <c r="J15" s="74">
        <v>750000</v>
      </c>
      <c r="K15" s="74">
        <v>450000</v>
      </c>
      <c r="L15" s="74">
        <v>300000</v>
      </c>
      <c r="M15" s="74">
        <v>300000</v>
      </c>
    </row>
    <row r="16" spans="1:13" ht="18.75" thickBot="1" x14ac:dyDescent="0.3">
      <c r="A16" s="137" t="s">
        <v>3</v>
      </c>
      <c r="B16" s="138" t="s">
        <v>96</v>
      </c>
      <c r="C16" s="138">
        <v>1080000</v>
      </c>
      <c r="D16" s="138">
        <v>250000</v>
      </c>
      <c r="E16" s="138">
        <f>C16-D16</f>
        <v>830000</v>
      </c>
      <c r="F16" s="138">
        <f>E16+F15</f>
        <v>1660000</v>
      </c>
      <c r="H16" s="82" t="s">
        <v>3</v>
      </c>
      <c r="I16" s="74" t="s">
        <v>127</v>
      </c>
      <c r="J16" s="74">
        <v>500000</v>
      </c>
      <c r="K16" s="74">
        <v>200000</v>
      </c>
      <c r="L16" s="74">
        <v>300000</v>
      </c>
      <c r="M16" s="74">
        <v>600000</v>
      </c>
    </row>
    <row r="17" spans="1:13" ht="18.75" thickBot="1" x14ac:dyDescent="0.3">
      <c r="A17" s="137" t="s">
        <v>4</v>
      </c>
      <c r="B17" s="138" t="s">
        <v>96</v>
      </c>
      <c r="C17" s="138">
        <v>792000</v>
      </c>
      <c r="D17" s="138">
        <v>250000</v>
      </c>
      <c r="E17" s="138">
        <f>C17-D17</f>
        <v>542000</v>
      </c>
      <c r="F17" s="138">
        <f>E17+F16</f>
        <v>2202000</v>
      </c>
      <c r="H17" s="82" t="s">
        <v>4</v>
      </c>
      <c r="I17" s="74" t="s">
        <v>127</v>
      </c>
      <c r="J17" s="74">
        <v>400000</v>
      </c>
      <c r="K17" s="74">
        <v>200000</v>
      </c>
      <c r="L17" s="74">
        <v>200000</v>
      </c>
      <c r="M17" s="74">
        <v>800000</v>
      </c>
    </row>
    <row r="18" spans="1:13" ht="18" x14ac:dyDescent="0.25">
      <c r="A18" s="145" t="s">
        <v>4</v>
      </c>
      <c r="B18" s="140" t="s">
        <v>91</v>
      </c>
      <c r="C18" s="145">
        <v>192000</v>
      </c>
      <c r="D18" s="145">
        <v>100000</v>
      </c>
      <c r="E18" s="145">
        <f>C18-D18</f>
        <v>92000</v>
      </c>
      <c r="F18" s="145">
        <f>E18+F17</f>
        <v>2294000</v>
      </c>
      <c r="H18" s="147" t="s">
        <v>4</v>
      </c>
      <c r="I18" s="76" t="s">
        <v>91</v>
      </c>
      <c r="J18" s="147">
        <v>300000</v>
      </c>
      <c r="K18" s="147">
        <v>150000</v>
      </c>
      <c r="L18" s="147">
        <v>150000</v>
      </c>
      <c r="M18" s="147">
        <v>950000</v>
      </c>
    </row>
    <row r="19" spans="1:13" ht="18.75" thickBot="1" x14ac:dyDescent="0.3">
      <c r="A19" s="146"/>
      <c r="B19" s="138" t="s">
        <v>92</v>
      </c>
      <c r="C19" s="146"/>
      <c r="D19" s="146"/>
      <c r="E19" s="146"/>
      <c r="F19" s="146"/>
      <c r="H19" s="148"/>
      <c r="I19" s="74" t="s">
        <v>92</v>
      </c>
      <c r="J19" s="148"/>
      <c r="K19" s="148"/>
      <c r="L19" s="148"/>
      <c r="M19" s="148"/>
    </row>
    <row r="20" spans="1:13" ht="18.75" thickBot="1" x14ac:dyDescent="0.3">
      <c r="A20" s="139" t="s">
        <v>5</v>
      </c>
      <c r="B20" s="138" t="s">
        <v>96</v>
      </c>
      <c r="C20" s="139">
        <v>792000</v>
      </c>
      <c r="D20" s="139">
        <v>150000</v>
      </c>
      <c r="E20" s="139">
        <f>C20-D20</f>
        <v>642000</v>
      </c>
      <c r="F20" s="139">
        <f>F18+E20</f>
        <v>2936000</v>
      </c>
      <c r="H20" s="147" t="s">
        <v>5</v>
      </c>
      <c r="I20" s="76" t="s">
        <v>91</v>
      </c>
      <c r="J20" s="147">
        <v>450000</v>
      </c>
      <c r="K20" s="147">
        <v>150000</v>
      </c>
      <c r="L20" s="147">
        <v>300000</v>
      </c>
      <c r="M20" s="147">
        <v>1250000</v>
      </c>
    </row>
    <row r="21" spans="1:13" ht="18.75" thickBot="1" x14ac:dyDescent="0.3">
      <c r="A21" s="145" t="s">
        <v>5</v>
      </c>
      <c r="B21" s="140" t="s">
        <v>91</v>
      </c>
      <c r="C21" s="145">
        <v>288000</v>
      </c>
      <c r="D21" s="145">
        <v>100000</v>
      </c>
      <c r="E21" s="145">
        <f>C21-D21</f>
        <v>188000</v>
      </c>
      <c r="F21" s="145">
        <f>F20+E21</f>
        <v>3124000</v>
      </c>
      <c r="H21" s="148"/>
      <c r="I21" s="74" t="s">
        <v>92</v>
      </c>
      <c r="J21" s="148"/>
      <c r="K21" s="148"/>
      <c r="L21" s="148"/>
      <c r="M21" s="148"/>
    </row>
    <row r="22" spans="1:13" ht="18.75" thickBot="1" x14ac:dyDescent="0.3">
      <c r="A22" s="146"/>
      <c r="B22" s="138" t="s">
        <v>92</v>
      </c>
      <c r="C22" s="146"/>
      <c r="D22" s="146"/>
      <c r="E22" s="146"/>
      <c r="F22" s="146"/>
      <c r="H22" s="82" t="s">
        <v>6</v>
      </c>
      <c r="I22" s="74" t="s">
        <v>93</v>
      </c>
      <c r="J22" s="74">
        <v>600000</v>
      </c>
      <c r="K22" s="74">
        <v>150000</v>
      </c>
      <c r="L22" s="74">
        <v>450000</v>
      </c>
      <c r="M22" s="74">
        <v>1700000</v>
      </c>
    </row>
    <row r="23" spans="1:13" ht="18.75" thickBot="1" x14ac:dyDescent="0.3">
      <c r="A23" s="137" t="s">
        <v>6</v>
      </c>
      <c r="B23" s="138" t="s">
        <v>96</v>
      </c>
      <c r="C23" s="138">
        <v>696000</v>
      </c>
      <c r="D23" s="138">
        <v>150000</v>
      </c>
      <c r="E23" s="138">
        <f>C23-D23</f>
        <v>546000</v>
      </c>
      <c r="F23" s="138">
        <f>E23+F21</f>
        <v>3670000</v>
      </c>
      <c r="H23" s="82" t="s">
        <v>7</v>
      </c>
      <c r="I23" s="74" t="s">
        <v>93</v>
      </c>
      <c r="J23" s="74">
        <v>600000</v>
      </c>
      <c r="K23" s="74">
        <v>150000</v>
      </c>
      <c r="L23" s="74">
        <v>450000</v>
      </c>
      <c r="M23" s="74">
        <v>2150000</v>
      </c>
    </row>
    <row r="24" spans="1:13" ht="18.75" thickBot="1" x14ac:dyDescent="0.3">
      <c r="A24" s="137" t="s">
        <v>6</v>
      </c>
      <c r="B24" s="138" t="s">
        <v>93</v>
      </c>
      <c r="C24" s="138">
        <v>384000</v>
      </c>
      <c r="D24" s="138">
        <v>100000</v>
      </c>
      <c r="E24" s="138">
        <f>C24-D24</f>
        <v>284000</v>
      </c>
      <c r="F24" s="138">
        <f>E24+F23</f>
        <v>3954000</v>
      </c>
      <c r="H24" s="82"/>
      <c r="I24" s="74" t="s">
        <v>0</v>
      </c>
      <c r="J24" s="74">
        <v>3600000</v>
      </c>
      <c r="K24" s="74">
        <v>1450000</v>
      </c>
      <c r="L24" s="74">
        <v>2150000</v>
      </c>
      <c r="M24" s="74"/>
    </row>
    <row r="25" spans="1:13" ht="18.75" thickBot="1" x14ac:dyDescent="0.3">
      <c r="A25" s="137" t="s">
        <v>7</v>
      </c>
      <c r="B25" s="138" t="s">
        <v>96</v>
      </c>
      <c r="C25" s="138">
        <v>600000</v>
      </c>
      <c r="D25" s="138">
        <v>150000</v>
      </c>
      <c r="E25" s="138">
        <f>C25-D25</f>
        <v>450000</v>
      </c>
      <c r="F25" s="138">
        <f>E25+F24</f>
        <v>4404000</v>
      </c>
    </row>
    <row r="26" spans="1:13" ht="18.75" thickBot="1" x14ac:dyDescent="0.3">
      <c r="A26" s="137" t="s">
        <v>7</v>
      </c>
      <c r="B26" s="138" t="s">
        <v>93</v>
      </c>
      <c r="C26" s="138">
        <v>480000</v>
      </c>
      <c r="D26" s="138">
        <v>100000</v>
      </c>
      <c r="E26" s="138">
        <f>C26-D26</f>
        <v>380000</v>
      </c>
      <c r="F26" s="138">
        <f>E26+F25</f>
        <v>4784000</v>
      </c>
    </row>
    <row r="27" spans="1:13" ht="18.75" thickBot="1" x14ac:dyDescent="0.3">
      <c r="A27" s="137"/>
      <c r="B27" s="138" t="s">
        <v>0</v>
      </c>
      <c r="C27" s="142"/>
      <c r="D27" s="138">
        <v>1450000</v>
      </c>
      <c r="E27" s="132">
        <f>E15+E16+E17+E18+E20+E21+E23+E24+E25+E26</f>
        <v>4784000</v>
      </c>
      <c r="F27" s="138"/>
    </row>
    <row r="28" spans="1:13" ht="18" x14ac:dyDescent="0.25">
      <c r="A28" s="141"/>
      <c r="B28" s="141"/>
      <c r="C28" s="141"/>
      <c r="D28" s="141"/>
      <c r="E28" s="141"/>
      <c r="F28" s="141"/>
    </row>
    <row r="29" spans="1:13" ht="18.75" thickBot="1" x14ac:dyDescent="0.3">
      <c r="A29" s="141"/>
      <c r="B29" s="141"/>
      <c r="C29" s="141"/>
      <c r="D29" s="141"/>
      <c r="E29" s="141"/>
      <c r="F29" s="141"/>
    </row>
    <row r="30" spans="1:13" ht="19.5" thickBot="1" x14ac:dyDescent="0.35">
      <c r="A30" s="135"/>
      <c r="B30" s="136" t="s">
        <v>94</v>
      </c>
      <c r="C30" s="136" t="s">
        <v>95</v>
      </c>
      <c r="D30" s="136"/>
      <c r="E30" s="136"/>
      <c r="F30" s="136"/>
      <c r="I30" s="22"/>
    </row>
    <row r="31" spans="1:13" ht="19.5" thickBot="1" x14ac:dyDescent="0.35">
      <c r="A31" s="137" t="s">
        <v>77</v>
      </c>
      <c r="B31" s="138" t="s">
        <v>78</v>
      </c>
      <c r="C31" s="140" t="s">
        <v>27</v>
      </c>
      <c r="D31" s="138" t="s">
        <v>79</v>
      </c>
      <c r="E31" s="138" t="s">
        <v>42</v>
      </c>
      <c r="F31" s="138" t="s">
        <v>80</v>
      </c>
      <c r="I31" s="22"/>
    </row>
    <row r="32" spans="1:13" ht="19.5" thickBot="1" x14ac:dyDescent="0.35">
      <c r="A32" s="137" t="s">
        <v>2</v>
      </c>
      <c r="B32" s="143" t="s">
        <v>100</v>
      </c>
      <c r="C32" s="66">
        <v>1248000</v>
      </c>
      <c r="D32" s="66">
        <v>300000</v>
      </c>
      <c r="E32" s="138">
        <f>C32-D32</f>
        <v>948000</v>
      </c>
      <c r="F32" s="138">
        <v>948000</v>
      </c>
      <c r="I32" s="22"/>
    </row>
    <row r="33" spans="1:9" ht="19.5" thickBot="1" x14ac:dyDescent="0.35">
      <c r="A33" s="137" t="s">
        <v>3</v>
      </c>
      <c r="B33" s="143" t="s">
        <v>100</v>
      </c>
      <c r="C33" s="66">
        <v>1248000</v>
      </c>
      <c r="D33" s="66">
        <v>250000</v>
      </c>
      <c r="E33" s="138">
        <f t="shared" ref="E33:E38" si="2">C33-D33</f>
        <v>998000</v>
      </c>
      <c r="F33" s="138">
        <f t="shared" ref="F33:F38" si="3">E33+F32</f>
        <v>1946000</v>
      </c>
      <c r="I33" s="22"/>
    </row>
    <row r="34" spans="1:9" ht="19.5" thickBot="1" x14ac:dyDescent="0.35">
      <c r="A34" s="137" t="s">
        <v>4</v>
      </c>
      <c r="B34" s="143" t="s">
        <v>97</v>
      </c>
      <c r="C34" s="66">
        <v>480000</v>
      </c>
      <c r="D34" s="66">
        <v>100000</v>
      </c>
      <c r="E34" s="138">
        <f>C34-D34</f>
        <v>380000</v>
      </c>
      <c r="F34" s="138">
        <f t="shared" si="3"/>
        <v>2326000</v>
      </c>
      <c r="I34" s="22"/>
    </row>
    <row r="35" spans="1:9" ht="19.5" thickBot="1" x14ac:dyDescent="0.35">
      <c r="A35" s="137" t="s">
        <v>4</v>
      </c>
      <c r="B35" s="143" t="s">
        <v>97</v>
      </c>
      <c r="C35" s="66">
        <v>1200000</v>
      </c>
      <c r="D35" s="66">
        <v>200000</v>
      </c>
      <c r="E35" s="138">
        <f t="shared" si="2"/>
        <v>1000000</v>
      </c>
      <c r="F35" s="138">
        <f t="shared" si="3"/>
        <v>3326000</v>
      </c>
      <c r="H35" t="s">
        <v>122</v>
      </c>
      <c r="I35" s="22"/>
    </row>
    <row r="36" spans="1:9" ht="19.5" thickBot="1" x14ac:dyDescent="0.35">
      <c r="A36" s="137" t="s">
        <v>5</v>
      </c>
      <c r="B36" s="143" t="s">
        <v>97</v>
      </c>
      <c r="C36" s="66">
        <v>1200000</v>
      </c>
      <c r="D36" s="66">
        <v>200000</v>
      </c>
      <c r="E36" s="138">
        <f t="shared" si="2"/>
        <v>1000000</v>
      </c>
      <c r="F36" s="138">
        <f t="shared" si="3"/>
        <v>4326000</v>
      </c>
      <c r="I36" s="22"/>
    </row>
    <row r="37" spans="1:9" ht="19.5" thickBot="1" x14ac:dyDescent="0.35">
      <c r="A37" s="137" t="s">
        <v>6</v>
      </c>
      <c r="B37" s="143" t="s">
        <v>97</v>
      </c>
      <c r="C37" s="66">
        <v>1200000</v>
      </c>
      <c r="D37" s="66">
        <v>200000</v>
      </c>
      <c r="E37" s="138">
        <f t="shared" si="2"/>
        <v>1000000</v>
      </c>
      <c r="F37" s="138">
        <f t="shared" si="3"/>
        <v>5326000</v>
      </c>
      <c r="I37" s="36"/>
    </row>
    <row r="38" spans="1:9" ht="18.75" thickBot="1" x14ac:dyDescent="0.3">
      <c r="A38" s="137" t="s">
        <v>7</v>
      </c>
      <c r="B38" s="143" t="s">
        <v>97</v>
      </c>
      <c r="C38" s="66">
        <v>1200000</v>
      </c>
      <c r="D38" s="66">
        <v>200000</v>
      </c>
      <c r="E38" s="138">
        <f t="shared" si="2"/>
        <v>1000000</v>
      </c>
      <c r="F38" s="138">
        <f t="shared" si="3"/>
        <v>6326000</v>
      </c>
    </row>
    <row r="39" spans="1:9" ht="18.75" thickBot="1" x14ac:dyDescent="0.3">
      <c r="A39" s="137"/>
      <c r="B39" s="143" t="s">
        <v>0</v>
      </c>
      <c r="C39" s="133">
        <f>SUM(C32:C38)</f>
        <v>7776000</v>
      </c>
      <c r="D39" s="133">
        <f>SUM(D32:D38)</f>
        <v>1450000</v>
      </c>
      <c r="E39" s="138">
        <f>SUM(E32:E38)</f>
        <v>6326000</v>
      </c>
      <c r="F39" s="138"/>
    </row>
    <row r="40" spans="1:9" ht="18" x14ac:dyDescent="0.25">
      <c r="A40" s="141"/>
      <c r="B40" s="141"/>
      <c r="C40" s="141"/>
      <c r="D40" s="141"/>
      <c r="E40" s="141"/>
      <c r="F40" s="141"/>
    </row>
    <row r="41" spans="1:9" ht="18.75" thickBot="1" x14ac:dyDescent="0.3">
      <c r="A41" s="141"/>
      <c r="B41" s="141"/>
      <c r="C41" s="141"/>
      <c r="D41" s="141"/>
      <c r="E41" s="141"/>
      <c r="F41" s="141"/>
    </row>
    <row r="42" spans="1:9" ht="18.75" thickBot="1" x14ac:dyDescent="0.3">
      <c r="A42" s="135"/>
      <c r="B42" s="136" t="s">
        <v>98</v>
      </c>
      <c r="C42" s="136" t="s">
        <v>99</v>
      </c>
      <c r="D42" s="136"/>
      <c r="E42" s="136"/>
      <c r="F42" s="136"/>
    </row>
    <row r="43" spans="1:9" ht="19.5" thickBot="1" x14ac:dyDescent="0.35">
      <c r="A43" s="137" t="s">
        <v>77</v>
      </c>
      <c r="B43" s="138" t="s">
        <v>78</v>
      </c>
      <c r="C43" s="138" t="s">
        <v>27</v>
      </c>
      <c r="D43" s="138" t="s">
        <v>79</v>
      </c>
      <c r="E43" s="138" t="s">
        <v>42</v>
      </c>
      <c r="F43" s="138" t="s">
        <v>80</v>
      </c>
      <c r="I43" s="22"/>
    </row>
    <row r="44" spans="1:9" ht="19.5" thickBot="1" x14ac:dyDescent="0.35">
      <c r="A44" s="137" t="s">
        <v>2</v>
      </c>
      <c r="B44" s="138" t="s">
        <v>116</v>
      </c>
      <c r="C44" s="138">
        <v>1350000</v>
      </c>
      <c r="D44" s="138">
        <v>400000</v>
      </c>
      <c r="E44" s="138">
        <f>C44-D44</f>
        <v>950000</v>
      </c>
      <c r="F44" s="138">
        <v>950000</v>
      </c>
      <c r="I44" s="22"/>
    </row>
    <row r="45" spans="1:9" ht="19.5" thickBot="1" x14ac:dyDescent="0.35">
      <c r="A45" s="137" t="s">
        <v>3</v>
      </c>
      <c r="B45" s="138" t="s">
        <v>116</v>
      </c>
      <c r="C45" s="138">
        <v>1080000</v>
      </c>
      <c r="D45" s="138">
        <v>200000</v>
      </c>
      <c r="E45" s="138">
        <f t="shared" ref="E45:E54" si="4">C45-D45</f>
        <v>880000</v>
      </c>
      <c r="F45" s="138">
        <f t="shared" ref="F45:F53" si="5">E45+F44</f>
        <v>1830000</v>
      </c>
      <c r="I45" s="22"/>
    </row>
    <row r="46" spans="1:9" ht="19.5" thickBot="1" x14ac:dyDescent="0.35">
      <c r="A46" s="137" t="s">
        <v>3</v>
      </c>
      <c r="B46" s="138" t="s">
        <v>101</v>
      </c>
      <c r="C46" s="138">
        <v>115200</v>
      </c>
      <c r="D46" s="138">
        <v>100000</v>
      </c>
      <c r="E46" s="138">
        <f t="shared" si="4"/>
        <v>15200</v>
      </c>
      <c r="F46" s="138">
        <f t="shared" si="5"/>
        <v>1845200</v>
      </c>
      <c r="I46" s="22"/>
    </row>
    <row r="47" spans="1:9" ht="19.5" thickBot="1" x14ac:dyDescent="0.35">
      <c r="A47" s="137" t="s">
        <v>4</v>
      </c>
      <c r="B47" s="138" t="s">
        <v>116</v>
      </c>
      <c r="C47" s="138">
        <v>810000</v>
      </c>
      <c r="D47" s="138">
        <v>250000</v>
      </c>
      <c r="E47" s="138">
        <f t="shared" si="4"/>
        <v>560000</v>
      </c>
      <c r="F47" s="138">
        <f t="shared" si="5"/>
        <v>2405200</v>
      </c>
      <c r="I47" s="22"/>
    </row>
    <row r="48" spans="1:9" ht="19.5" thickBot="1" x14ac:dyDescent="0.35">
      <c r="A48" s="137" t="s">
        <v>4</v>
      </c>
      <c r="B48" s="138" t="s">
        <v>101</v>
      </c>
      <c r="C48" s="138">
        <v>230400</v>
      </c>
      <c r="D48" s="138">
        <v>100000</v>
      </c>
      <c r="E48" s="138">
        <f t="shared" si="4"/>
        <v>130400</v>
      </c>
      <c r="F48" s="138">
        <f t="shared" si="5"/>
        <v>2535600</v>
      </c>
      <c r="I48" s="22"/>
    </row>
    <row r="49" spans="1:9" ht="19.5" thickBot="1" x14ac:dyDescent="0.35">
      <c r="A49" s="137" t="s">
        <v>123</v>
      </c>
      <c r="B49" s="138" t="s">
        <v>116</v>
      </c>
      <c r="C49" s="138">
        <v>810000</v>
      </c>
      <c r="D49" s="138">
        <v>200000</v>
      </c>
      <c r="E49" s="138">
        <f t="shared" si="4"/>
        <v>610000</v>
      </c>
      <c r="F49" s="138">
        <f t="shared" si="5"/>
        <v>3145600</v>
      </c>
      <c r="I49" s="22"/>
    </row>
    <row r="50" spans="1:9" ht="19.5" thickBot="1" x14ac:dyDescent="0.35">
      <c r="A50" s="137" t="s">
        <v>5</v>
      </c>
      <c r="B50" s="138" t="s">
        <v>101</v>
      </c>
      <c r="C50" s="138">
        <v>288000</v>
      </c>
      <c r="D50" s="138">
        <v>100000</v>
      </c>
      <c r="E50" s="138">
        <f t="shared" si="4"/>
        <v>188000</v>
      </c>
      <c r="F50" s="138">
        <f t="shared" si="5"/>
        <v>3333600</v>
      </c>
      <c r="I50" s="22"/>
    </row>
    <row r="51" spans="1:9" ht="19.5" thickBot="1" x14ac:dyDescent="0.35">
      <c r="A51" s="137" t="s">
        <v>6</v>
      </c>
      <c r="B51" s="138" t="s">
        <v>116</v>
      </c>
      <c r="C51" s="138">
        <v>810000</v>
      </c>
      <c r="D51" s="138">
        <v>200000</v>
      </c>
      <c r="E51" s="138">
        <f t="shared" si="4"/>
        <v>610000</v>
      </c>
      <c r="F51" s="138">
        <f t="shared" si="5"/>
        <v>3943600</v>
      </c>
      <c r="I51" s="22"/>
    </row>
    <row r="52" spans="1:9" ht="19.5" thickBot="1" x14ac:dyDescent="0.35">
      <c r="A52" s="137" t="s">
        <v>6</v>
      </c>
      <c r="B52" s="138" t="s">
        <v>101</v>
      </c>
      <c r="C52" s="138">
        <v>345600</v>
      </c>
      <c r="D52" s="138">
        <v>100000</v>
      </c>
      <c r="E52" s="138">
        <f t="shared" si="4"/>
        <v>245600</v>
      </c>
      <c r="F52" s="138">
        <f t="shared" si="5"/>
        <v>4189200</v>
      </c>
      <c r="I52" s="22"/>
    </row>
    <row r="53" spans="1:9" ht="19.5" thickBot="1" x14ac:dyDescent="0.35">
      <c r="A53" s="137" t="s">
        <v>7</v>
      </c>
      <c r="B53" s="138" t="s">
        <v>116</v>
      </c>
      <c r="C53" s="138">
        <v>540000</v>
      </c>
      <c r="D53" s="138">
        <v>200000</v>
      </c>
      <c r="E53" s="138">
        <f t="shared" si="4"/>
        <v>340000</v>
      </c>
      <c r="F53" s="138">
        <f t="shared" si="5"/>
        <v>4529200</v>
      </c>
      <c r="I53" s="22"/>
    </row>
    <row r="54" spans="1:9" ht="18.75" thickBot="1" x14ac:dyDescent="0.3">
      <c r="A54" s="137" t="s">
        <v>7</v>
      </c>
      <c r="B54" s="138" t="s">
        <v>101</v>
      </c>
      <c r="C54" s="138">
        <v>460800</v>
      </c>
      <c r="D54" s="138">
        <v>100000</v>
      </c>
      <c r="E54" s="138">
        <f t="shared" si="4"/>
        <v>360800</v>
      </c>
      <c r="F54" s="138">
        <v>2300000</v>
      </c>
    </row>
    <row r="55" spans="1:9" ht="18" x14ac:dyDescent="0.25">
      <c r="A55" s="134"/>
      <c r="B55" s="144" t="s">
        <v>0</v>
      </c>
      <c r="C55" s="144">
        <f>SUM(C44:C54)</f>
        <v>6840000</v>
      </c>
      <c r="D55" s="144">
        <f>SUM(D44:D54)</f>
        <v>1950000</v>
      </c>
      <c r="E55" s="144">
        <v>2300000</v>
      </c>
      <c r="F55" s="144"/>
    </row>
    <row r="56" spans="1:9" ht="18" x14ac:dyDescent="0.25">
      <c r="A56" s="141"/>
      <c r="B56" s="141"/>
      <c r="C56" s="141"/>
      <c r="D56" s="141"/>
      <c r="E56" s="141"/>
      <c r="F56" s="141"/>
    </row>
    <row r="57" spans="1:9" ht="18.75" thickBot="1" x14ac:dyDescent="0.3">
      <c r="A57" s="141"/>
      <c r="B57" s="141"/>
      <c r="C57" s="141"/>
      <c r="D57" s="141"/>
      <c r="E57" s="141"/>
      <c r="F57" s="141"/>
    </row>
    <row r="58" spans="1:9" ht="18.75" thickBot="1" x14ac:dyDescent="0.3">
      <c r="A58" s="135"/>
      <c r="B58" s="136" t="s">
        <v>102</v>
      </c>
      <c r="C58" s="136" t="s">
        <v>103</v>
      </c>
      <c r="D58" s="136"/>
      <c r="E58" s="136"/>
      <c r="F58" s="136"/>
    </row>
    <row r="59" spans="1:9" ht="18.75" thickBot="1" x14ac:dyDescent="0.3">
      <c r="A59" s="137" t="s">
        <v>77</v>
      </c>
      <c r="B59" s="138" t="s">
        <v>78</v>
      </c>
      <c r="C59" s="138" t="s">
        <v>27</v>
      </c>
      <c r="D59" s="138" t="s">
        <v>79</v>
      </c>
      <c r="E59" s="138" t="s">
        <v>42</v>
      </c>
      <c r="F59" s="138" t="s">
        <v>80</v>
      </c>
    </row>
    <row r="60" spans="1:9" ht="21" thickBot="1" x14ac:dyDescent="0.3">
      <c r="A60" s="137" t="s">
        <v>128</v>
      </c>
      <c r="B60" s="138" t="s">
        <v>104</v>
      </c>
      <c r="C60" s="138"/>
      <c r="D60" s="138">
        <v>300000</v>
      </c>
      <c r="E60" s="138">
        <v>-300000</v>
      </c>
      <c r="F60" s="138">
        <v>-300000</v>
      </c>
    </row>
    <row r="61" spans="1:9" ht="21" thickBot="1" x14ac:dyDescent="0.3">
      <c r="A61" s="137" t="s">
        <v>129</v>
      </c>
      <c r="B61" s="138" t="s">
        <v>104</v>
      </c>
      <c r="C61" s="138"/>
      <c r="D61" s="138">
        <v>100000</v>
      </c>
      <c r="E61" s="138">
        <v>-100000</v>
      </c>
      <c r="F61" s="138">
        <v>-400000</v>
      </c>
    </row>
    <row r="62" spans="1:9" ht="21" thickBot="1" x14ac:dyDescent="0.3">
      <c r="A62" s="137" t="s">
        <v>130</v>
      </c>
      <c r="B62" s="138" t="s">
        <v>104</v>
      </c>
      <c r="C62" s="138"/>
      <c r="D62" s="138">
        <v>100000</v>
      </c>
      <c r="E62" s="138">
        <v>-100000</v>
      </c>
      <c r="F62" s="138">
        <v>-500000</v>
      </c>
    </row>
    <row r="63" spans="1:9" ht="21" thickBot="1" x14ac:dyDescent="0.3">
      <c r="A63" s="137" t="s">
        <v>131</v>
      </c>
      <c r="B63" s="138" t="s">
        <v>104</v>
      </c>
      <c r="C63" s="138"/>
      <c r="D63" s="138">
        <v>100000</v>
      </c>
      <c r="E63" s="138">
        <v>-100000</v>
      </c>
      <c r="F63" s="138">
        <v>-600000</v>
      </c>
    </row>
    <row r="64" spans="1:9" ht="21" thickBot="1" x14ac:dyDescent="0.3">
      <c r="A64" s="137" t="s">
        <v>132</v>
      </c>
      <c r="B64" s="138" t="s">
        <v>104</v>
      </c>
      <c r="C64" s="138"/>
      <c r="D64" s="138">
        <v>100000</v>
      </c>
      <c r="E64" s="138">
        <v>-100000</v>
      </c>
      <c r="F64" s="138">
        <v>-700000</v>
      </c>
    </row>
    <row r="65" spans="1:9" ht="21" thickBot="1" x14ac:dyDescent="0.3">
      <c r="A65" s="137" t="s">
        <v>133</v>
      </c>
      <c r="B65" s="138" t="s">
        <v>104</v>
      </c>
      <c r="C65" s="138" t="s">
        <v>105</v>
      </c>
      <c r="D65" s="138">
        <v>100000</v>
      </c>
      <c r="E65" s="138">
        <v>-100000</v>
      </c>
      <c r="F65" s="138">
        <v>800000</v>
      </c>
    </row>
    <row r="66" spans="1:9" ht="18.75" thickBot="1" x14ac:dyDescent="0.3">
      <c r="A66" s="137"/>
      <c r="B66" s="138" t="s">
        <v>0</v>
      </c>
      <c r="C66" s="138" t="s">
        <v>105</v>
      </c>
      <c r="D66" s="138" t="s">
        <v>106</v>
      </c>
      <c r="E66" s="138">
        <v>1200000</v>
      </c>
      <c r="F66" s="138" t="s">
        <v>107</v>
      </c>
    </row>
    <row r="68" spans="1:9" ht="15.75" thickBot="1" x14ac:dyDescent="0.3"/>
    <row r="69" spans="1:9" ht="19.5" thickBot="1" x14ac:dyDescent="0.3">
      <c r="A69" s="123" t="s">
        <v>77</v>
      </c>
      <c r="B69" s="124" t="s">
        <v>27</v>
      </c>
      <c r="C69" s="124" t="s">
        <v>79</v>
      </c>
      <c r="D69" s="124" t="s">
        <v>42</v>
      </c>
      <c r="E69" s="124" t="s">
        <v>80</v>
      </c>
      <c r="F69" s="125"/>
      <c r="G69" s="125"/>
    </row>
    <row r="70" spans="1:9" ht="19.5" thickBot="1" x14ac:dyDescent="0.35">
      <c r="A70" s="126" t="s">
        <v>2</v>
      </c>
      <c r="B70" s="34">
        <v>4862000</v>
      </c>
      <c r="C70" s="34">
        <v>1900000</v>
      </c>
      <c r="D70" s="127">
        <f>B70-C70</f>
        <v>2962000</v>
      </c>
      <c r="E70" s="127">
        <v>2962000</v>
      </c>
      <c r="F70" s="125"/>
      <c r="G70" s="125"/>
      <c r="I70" s="23"/>
    </row>
    <row r="71" spans="1:9" ht="19.5" thickBot="1" x14ac:dyDescent="0.35">
      <c r="A71" s="126" t="s">
        <v>3</v>
      </c>
      <c r="B71" s="34">
        <v>5068800</v>
      </c>
      <c r="C71" s="34">
        <v>1650000</v>
      </c>
      <c r="D71" s="127">
        <f t="shared" ref="D71:D75" si="6">B71-C71</f>
        <v>3418800</v>
      </c>
      <c r="E71" s="127">
        <f>D71+E70</f>
        <v>6380800</v>
      </c>
      <c r="F71" s="125"/>
      <c r="G71" s="125"/>
      <c r="I71" s="23"/>
    </row>
    <row r="72" spans="1:9" ht="19.5" thickBot="1" x14ac:dyDescent="0.35">
      <c r="A72" s="126" t="s">
        <v>4</v>
      </c>
      <c r="B72" s="34">
        <v>3992400</v>
      </c>
      <c r="C72" s="34">
        <v>1350000</v>
      </c>
      <c r="D72" s="127">
        <f t="shared" si="6"/>
        <v>2642400</v>
      </c>
      <c r="E72" s="127">
        <f>D72+E71</f>
        <v>9023200</v>
      </c>
      <c r="F72" s="125"/>
      <c r="G72" s="125"/>
      <c r="I72" s="23"/>
    </row>
    <row r="73" spans="1:9" ht="19.5" thickBot="1" x14ac:dyDescent="0.35">
      <c r="A73" s="126" t="s">
        <v>5</v>
      </c>
      <c r="B73" s="34">
        <v>4338000</v>
      </c>
      <c r="C73" s="34">
        <v>1300000</v>
      </c>
      <c r="D73" s="127">
        <f t="shared" si="6"/>
        <v>3038000</v>
      </c>
      <c r="E73" s="127">
        <f>D73+E72</f>
        <v>12061200</v>
      </c>
      <c r="F73" s="125"/>
      <c r="G73" s="125"/>
      <c r="I73" s="23"/>
    </row>
    <row r="74" spans="1:9" ht="19.5" thickBot="1" x14ac:dyDescent="0.35">
      <c r="A74" s="126" t="s">
        <v>6</v>
      </c>
      <c r="B74" s="34">
        <v>4395600</v>
      </c>
      <c r="C74" s="34">
        <v>1300000</v>
      </c>
      <c r="D74" s="127">
        <f t="shared" si="6"/>
        <v>3095600</v>
      </c>
      <c r="E74" s="127">
        <f>D74+E73</f>
        <v>15156800</v>
      </c>
      <c r="F74" s="125"/>
      <c r="G74" s="125"/>
      <c r="I74" s="23"/>
    </row>
    <row r="75" spans="1:9" ht="19.5" thickBot="1" x14ac:dyDescent="0.35">
      <c r="A75" s="126" t="s">
        <v>7</v>
      </c>
      <c r="B75" s="34">
        <v>15440800</v>
      </c>
      <c r="C75" s="34">
        <v>1300000</v>
      </c>
      <c r="D75" s="127">
        <f t="shared" si="6"/>
        <v>14140800</v>
      </c>
      <c r="E75" s="127">
        <f>D75+E74</f>
        <v>29297600</v>
      </c>
      <c r="F75" s="125"/>
      <c r="G75" s="125"/>
      <c r="I75" s="23"/>
    </row>
    <row r="76" spans="1:9" ht="19.5" thickBot="1" x14ac:dyDescent="0.35">
      <c r="A76" s="126" t="s">
        <v>12</v>
      </c>
      <c r="B76" s="34">
        <f>SUM(B70:B75)</f>
        <v>38097600</v>
      </c>
      <c r="C76" s="34">
        <f>SUM(C70:C75)</f>
        <v>8800000</v>
      </c>
      <c r="D76" s="127">
        <f>B76-C76</f>
        <v>29297600</v>
      </c>
      <c r="E76" s="127"/>
      <c r="F76" s="125"/>
      <c r="G76" s="125"/>
      <c r="I76" s="19"/>
    </row>
    <row r="77" spans="1:9" x14ac:dyDescent="0.25">
      <c r="A77" s="125"/>
      <c r="B77" s="125"/>
      <c r="C77" s="125"/>
      <c r="D77" s="125"/>
      <c r="E77" s="125"/>
      <c r="F77" s="125"/>
      <c r="G77" s="125"/>
    </row>
    <row r="78" spans="1:9" ht="18.75" x14ac:dyDescent="0.3">
      <c r="A78" s="34"/>
      <c r="B78" s="34" t="s">
        <v>8</v>
      </c>
      <c r="C78" s="34" t="s">
        <v>9</v>
      </c>
      <c r="D78" s="34" t="s">
        <v>21</v>
      </c>
      <c r="E78" s="34" t="s">
        <v>11</v>
      </c>
      <c r="F78" s="34" t="s">
        <v>13</v>
      </c>
      <c r="G78" s="34"/>
    </row>
    <row r="79" spans="1:9" ht="18.75" x14ac:dyDescent="0.3">
      <c r="A79" s="97" t="s">
        <v>1</v>
      </c>
      <c r="B79" s="97" t="s">
        <v>27</v>
      </c>
      <c r="C79" s="97" t="s">
        <v>27</v>
      </c>
      <c r="D79" s="97" t="s">
        <v>27</v>
      </c>
      <c r="E79" s="97" t="s">
        <v>26</v>
      </c>
      <c r="F79" s="97" t="s">
        <v>26</v>
      </c>
      <c r="G79" s="34" t="s">
        <v>12</v>
      </c>
    </row>
    <row r="80" spans="1:9" ht="18.75" x14ac:dyDescent="0.3">
      <c r="A80" s="97" t="s">
        <v>2</v>
      </c>
      <c r="B80" s="97">
        <v>1184000</v>
      </c>
      <c r="C80" s="97">
        <v>1080000</v>
      </c>
      <c r="D80" s="97">
        <v>1248000</v>
      </c>
      <c r="E80" s="97">
        <v>1350000</v>
      </c>
      <c r="F80" s="120">
        <v>0</v>
      </c>
      <c r="G80" s="34">
        <f>SUM(B80:F80)</f>
        <v>4862000</v>
      </c>
    </row>
    <row r="81" spans="1:11" ht="18.75" x14ac:dyDescent="0.3">
      <c r="A81" s="97" t="s">
        <v>3</v>
      </c>
      <c r="B81" s="97">
        <v>1123200</v>
      </c>
      <c r="C81" s="97">
        <v>1080000</v>
      </c>
      <c r="D81" s="97">
        <v>1728000</v>
      </c>
      <c r="E81" s="97">
        <v>1137600</v>
      </c>
      <c r="F81" s="120">
        <v>0</v>
      </c>
      <c r="G81" s="34">
        <f t="shared" ref="G81:G85" si="7">SUM(B81:F81)</f>
        <v>5068800</v>
      </c>
    </row>
    <row r="82" spans="1:11" ht="18.75" x14ac:dyDescent="0.3">
      <c r="A82" s="97" t="s">
        <v>4</v>
      </c>
      <c r="B82" s="97">
        <v>768000</v>
      </c>
      <c r="C82" s="97">
        <v>984000</v>
      </c>
      <c r="D82" s="97">
        <v>1200000</v>
      </c>
      <c r="E82" s="97">
        <v>1040400</v>
      </c>
      <c r="F82" s="120">
        <v>0</v>
      </c>
      <c r="G82" s="34">
        <f t="shared" si="7"/>
        <v>3992400</v>
      </c>
    </row>
    <row r="83" spans="1:11" ht="18.75" x14ac:dyDescent="0.3">
      <c r="A83" s="97" t="s">
        <v>5</v>
      </c>
      <c r="B83" s="97">
        <v>960000</v>
      </c>
      <c r="C83" s="97">
        <v>1080000</v>
      </c>
      <c r="D83" s="97">
        <v>1200000</v>
      </c>
      <c r="E83" s="97">
        <v>1098000</v>
      </c>
      <c r="F83" s="120">
        <v>0</v>
      </c>
      <c r="G83" s="34">
        <f t="shared" si="7"/>
        <v>4338000</v>
      </c>
    </row>
    <row r="84" spans="1:11" ht="18.75" x14ac:dyDescent="0.3">
      <c r="A84" s="97" t="s">
        <v>6</v>
      </c>
      <c r="B84" s="97">
        <v>960000</v>
      </c>
      <c r="C84" s="97">
        <v>1080000</v>
      </c>
      <c r="D84" s="97">
        <v>1200000</v>
      </c>
      <c r="E84" s="97">
        <v>1155600</v>
      </c>
      <c r="F84" s="120">
        <v>0</v>
      </c>
      <c r="G84" s="34">
        <f t="shared" si="7"/>
        <v>4395600</v>
      </c>
    </row>
    <row r="85" spans="1:11" ht="18.75" x14ac:dyDescent="0.3">
      <c r="A85" s="97" t="s">
        <v>7</v>
      </c>
      <c r="B85" s="97">
        <v>960000</v>
      </c>
      <c r="C85" s="97">
        <v>1080000</v>
      </c>
      <c r="D85" s="97">
        <v>1200000</v>
      </c>
      <c r="E85" s="97">
        <v>1000800</v>
      </c>
      <c r="F85" s="121">
        <v>11200000</v>
      </c>
      <c r="G85" s="34">
        <f t="shared" si="7"/>
        <v>15440800</v>
      </c>
    </row>
    <row r="86" spans="1:11" ht="18.75" x14ac:dyDescent="0.3">
      <c r="A86" s="97" t="s">
        <v>0</v>
      </c>
      <c r="B86" s="97">
        <f>SUM(B80:B85)</f>
        <v>5955200</v>
      </c>
      <c r="C86" s="97">
        <f>SUM(C80:C85)</f>
        <v>6384000</v>
      </c>
      <c r="D86" s="97">
        <f>SUM(D80:D85)</f>
        <v>7776000</v>
      </c>
      <c r="E86" s="97">
        <f>SUM(E80:E85)</f>
        <v>6782400</v>
      </c>
      <c r="F86" s="121">
        <v>11200000</v>
      </c>
      <c r="G86" s="34">
        <f>SUM(G80:G85)</f>
        <v>38097600</v>
      </c>
      <c r="I86" s="28"/>
      <c r="K86" s="28"/>
    </row>
    <row r="87" spans="1:11" x14ac:dyDescent="0.25">
      <c r="A87" s="125"/>
      <c r="B87" s="125"/>
      <c r="C87" s="125"/>
      <c r="D87" s="125"/>
      <c r="E87" s="125"/>
      <c r="F87" s="125"/>
      <c r="G87" s="125"/>
    </row>
    <row r="88" spans="1:11" x14ac:dyDescent="0.25">
      <c r="A88" s="125"/>
      <c r="B88" s="125"/>
      <c r="C88" s="125"/>
      <c r="D88" s="125"/>
      <c r="E88" s="125"/>
      <c r="F88" s="125"/>
      <c r="G88" s="125"/>
    </row>
    <row r="89" spans="1:11" ht="19.5" thickBot="1" x14ac:dyDescent="0.35">
      <c r="A89" s="34"/>
      <c r="B89" s="131" t="s">
        <v>8</v>
      </c>
      <c r="C89" s="34" t="s">
        <v>9</v>
      </c>
      <c r="D89" s="34" t="s">
        <v>21</v>
      </c>
      <c r="E89" s="131" t="s">
        <v>11</v>
      </c>
      <c r="F89" s="34" t="s">
        <v>13</v>
      </c>
      <c r="G89" s="34"/>
      <c r="I89" s="129"/>
    </row>
    <row r="90" spans="1:11" ht="19.5" thickBot="1" x14ac:dyDescent="0.3">
      <c r="A90" s="97" t="s">
        <v>1</v>
      </c>
      <c r="B90" s="130" t="s">
        <v>79</v>
      </c>
      <c r="C90" s="130" t="s">
        <v>79</v>
      </c>
      <c r="D90" s="130" t="s">
        <v>79</v>
      </c>
      <c r="E90" s="130" t="s">
        <v>79</v>
      </c>
      <c r="F90" s="130" t="s">
        <v>79</v>
      </c>
      <c r="G90" s="128" t="s">
        <v>12</v>
      </c>
    </row>
    <row r="91" spans="1:11" ht="18.75" x14ac:dyDescent="0.3">
      <c r="A91" s="97" t="s">
        <v>2</v>
      </c>
      <c r="B91" s="97">
        <v>350000</v>
      </c>
      <c r="C91" s="97">
        <v>250000</v>
      </c>
      <c r="D91" s="97">
        <v>300000</v>
      </c>
      <c r="E91" s="97">
        <v>400000</v>
      </c>
      <c r="F91" s="120">
        <v>600000</v>
      </c>
      <c r="G91" s="34">
        <f>SUM(B91:F91)</f>
        <v>1900000</v>
      </c>
      <c r="J91" s="22"/>
    </row>
    <row r="92" spans="1:11" ht="18.75" x14ac:dyDescent="0.3">
      <c r="A92" s="97" t="s">
        <v>3</v>
      </c>
      <c r="B92" s="97">
        <v>350000</v>
      </c>
      <c r="C92" s="97">
        <v>250000</v>
      </c>
      <c r="D92" s="97">
        <v>350000</v>
      </c>
      <c r="E92" s="97">
        <v>300000</v>
      </c>
      <c r="F92" s="120">
        <v>400000</v>
      </c>
      <c r="G92" s="34">
        <f t="shared" ref="G92:G96" si="8">SUM(B92:F92)</f>
        <v>1650000</v>
      </c>
      <c r="J92" s="22"/>
    </row>
    <row r="93" spans="1:11" ht="18.75" x14ac:dyDescent="0.3">
      <c r="A93" s="97" t="s">
        <v>4</v>
      </c>
      <c r="B93" s="97">
        <v>150000</v>
      </c>
      <c r="C93" s="97">
        <v>250000</v>
      </c>
      <c r="D93" s="97">
        <v>200000</v>
      </c>
      <c r="E93" s="97">
        <v>350000</v>
      </c>
      <c r="F93" s="120">
        <v>400000</v>
      </c>
      <c r="G93" s="34">
        <f t="shared" si="8"/>
        <v>1350000</v>
      </c>
      <c r="J93" s="22"/>
    </row>
    <row r="94" spans="1:11" ht="18.75" x14ac:dyDescent="0.3">
      <c r="A94" s="97" t="s">
        <v>5</v>
      </c>
      <c r="B94" s="97">
        <v>150000</v>
      </c>
      <c r="C94" s="97">
        <v>250000</v>
      </c>
      <c r="D94" s="97">
        <v>200000</v>
      </c>
      <c r="E94" s="97">
        <v>300000</v>
      </c>
      <c r="F94" s="120">
        <v>400000</v>
      </c>
      <c r="G94" s="34">
        <f t="shared" si="8"/>
        <v>1300000</v>
      </c>
      <c r="J94" s="22"/>
    </row>
    <row r="95" spans="1:11" ht="18.75" x14ac:dyDescent="0.3">
      <c r="A95" s="97" t="s">
        <v>6</v>
      </c>
      <c r="B95" s="97">
        <v>150000</v>
      </c>
      <c r="C95" s="97">
        <v>250000</v>
      </c>
      <c r="D95" s="97">
        <v>200000</v>
      </c>
      <c r="E95" s="97">
        <v>300000</v>
      </c>
      <c r="F95" s="120">
        <v>400000</v>
      </c>
      <c r="G95" s="34">
        <f t="shared" si="8"/>
        <v>1300000</v>
      </c>
      <c r="J95" s="22"/>
    </row>
    <row r="96" spans="1:11" ht="18.75" x14ac:dyDescent="0.3">
      <c r="A96" s="97" t="s">
        <v>7</v>
      </c>
      <c r="B96" s="97">
        <v>150000</v>
      </c>
      <c r="C96" s="97">
        <v>250000</v>
      </c>
      <c r="D96" s="97">
        <v>200000</v>
      </c>
      <c r="E96" s="97">
        <v>300000</v>
      </c>
      <c r="F96" s="122">
        <v>400000</v>
      </c>
      <c r="G96" s="34">
        <f t="shared" si="8"/>
        <v>1300000</v>
      </c>
      <c r="J96" s="22"/>
    </row>
    <row r="97" spans="1:10" ht="18.75" x14ac:dyDescent="0.3">
      <c r="A97" s="97" t="s">
        <v>0</v>
      </c>
      <c r="B97" s="97">
        <f>SUM(B91:B96)</f>
        <v>1300000</v>
      </c>
      <c r="C97" s="97">
        <f>SUM(C91:C96)</f>
        <v>1500000</v>
      </c>
      <c r="D97" s="97">
        <f>SUM(D91:D96)</f>
        <v>1450000</v>
      </c>
      <c r="E97" s="97">
        <f>SUM(E91:E96)</f>
        <v>1950000</v>
      </c>
      <c r="F97" s="122">
        <v>2600000</v>
      </c>
      <c r="G97" s="34">
        <f>SUM(G91:G96)</f>
        <v>8800000</v>
      </c>
      <c r="J97" s="65"/>
    </row>
    <row r="99" spans="1:10" x14ac:dyDescent="0.25">
      <c r="I99" s="129"/>
    </row>
  </sheetData>
  <mergeCells count="20">
    <mergeCell ref="M18:M19"/>
    <mergeCell ref="H20:H21"/>
    <mergeCell ref="J20:J21"/>
    <mergeCell ref="K20:K21"/>
    <mergeCell ref="L20:L21"/>
    <mergeCell ref="M20:M21"/>
    <mergeCell ref="H18:H19"/>
    <mergeCell ref="J18:J19"/>
    <mergeCell ref="K18:K19"/>
    <mergeCell ref="L18:L19"/>
    <mergeCell ref="A21:A22"/>
    <mergeCell ref="C21:C22"/>
    <mergeCell ref="D21:D22"/>
    <mergeCell ref="E21:E22"/>
    <mergeCell ref="F21:F22"/>
    <mergeCell ref="A18:A19"/>
    <mergeCell ref="C18:C19"/>
    <mergeCell ref="D18:D19"/>
    <mergeCell ref="E18:E19"/>
    <mergeCell ref="F18:F1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"/>
  <sheetViews>
    <sheetView topLeftCell="A22" zoomScale="85" zoomScaleNormal="85" workbookViewId="0">
      <selection activeCell="E37" sqref="E37"/>
    </sheetView>
  </sheetViews>
  <sheetFormatPr defaultRowHeight="15" x14ac:dyDescent="0.25"/>
  <cols>
    <col min="1" max="1" width="8.42578125" style="90" bestFit="1" customWidth="1"/>
    <col min="2" max="2" width="15.5703125" style="90" bestFit="1" customWidth="1"/>
    <col min="3" max="3" width="14.28515625" style="90" bestFit="1" customWidth="1"/>
    <col min="4" max="4" width="20.140625" style="90" bestFit="1" customWidth="1"/>
    <col min="5" max="5" width="11.85546875" style="90" bestFit="1" customWidth="1"/>
    <col min="6" max="6" width="11.42578125" style="90" bestFit="1" customWidth="1"/>
    <col min="7" max="7" width="17.140625" style="90" bestFit="1" customWidth="1"/>
    <col min="8" max="8" width="12.42578125" style="90" bestFit="1" customWidth="1"/>
    <col min="9" max="9" width="13.5703125" style="90" bestFit="1" customWidth="1"/>
    <col min="10" max="10" width="12.42578125" style="90" bestFit="1" customWidth="1"/>
    <col min="11" max="11" width="9.85546875" style="90" bestFit="1" customWidth="1"/>
    <col min="12" max="12" width="6.7109375" style="90" customWidth="1"/>
    <col min="13" max="13" width="10.140625" style="90" bestFit="1" customWidth="1"/>
    <col min="14" max="14" width="11.28515625" style="90" bestFit="1" customWidth="1"/>
    <col min="15" max="15" width="18.85546875" style="90" bestFit="1" customWidth="1"/>
    <col min="16" max="16" width="11.28515625" style="90" bestFit="1" customWidth="1"/>
    <col min="17" max="16384" width="9.140625" style="90"/>
  </cols>
  <sheetData>
    <row r="1" spans="1:17" ht="18.75" x14ac:dyDescent="0.25">
      <c r="A1" s="83"/>
      <c r="B1" s="83"/>
      <c r="C1" s="84"/>
      <c r="D1" s="85" t="s">
        <v>8</v>
      </c>
      <c r="E1" s="84"/>
      <c r="F1" s="86"/>
      <c r="G1" s="87" t="s">
        <v>38</v>
      </c>
      <c r="H1" s="88" t="s">
        <v>112</v>
      </c>
      <c r="I1" s="89"/>
      <c r="J1" s="89"/>
      <c r="K1" s="89"/>
      <c r="L1" s="88"/>
      <c r="M1" s="88"/>
    </row>
    <row r="2" spans="1:17" ht="18.75" x14ac:dyDescent="0.25">
      <c r="A2" s="85" t="s">
        <v>1</v>
      </c>
      <c r="B2" s="85" t="s">
        <v>27</v>
      </c>
      <c r="C2" s="85" t="s">
        <v>24</v>
      </c>
      <c r="D2" s="85" t="s">
        <v>110</v>
      </c>
      <c r="E2" s="85" t="s">
        <v>41</v>
      </c>
      <c r="F2" s="91" t="s">
        <v>40</v>
      </c>
      <c r="G2" s="92" t="s">
        <v>25</v>
      </c>
      <c r="H2" s="93" t="s">
        <v>125</v>
      </c>
      <c r="I2" s="94" t="s">
        <v>113</v>
      </c>
      <c r="J2" s="94" t="s">
        <v>114</v>
      </c>
      <c r="K2" s="95" t="s">
        <v>46</v>
      </c>
      <c r="L2" s="85" t="s">
        <v>33</v>
      </c>
      <c r="M2" s="85" t="s">
        <v>35</v>
      </c>
      <c r="N2" s="96" t="s">
        <v>12</v>
      </c>
      <c r="O2" s="85" t="s">
        <v>115</v>
      </c>
      <c r="P2" s="85" t="s">
        <v>12</v>
      </c>
    </row>
    <row r="3" spans="1:17" ht="18.75" x14ac:dyDescent="0.25">
      <c r="A3" s="97" t="s">
        <v>2</v>
      </c>
      <c r="B3" s="97">
        <v>1184000</v>
      </c>
      <c r="C3" s="97">
        <v>16</v>
      </c>
      <c r="D3" s="97">
        <f>B3/C3</f>
        <v>74000</v>
      </c>
      <c r="E3" s="97">
        <v>350000</v>
      </c>
      <c r="F3" s="97">
        <f>E3/C3</f>
        <v>21875</v>
      </c>
      <c r="G3" s="98">
        <f>D3-F3</f>
        <v>52125</v>
      </c>
      <c r="H3" s="99">
        <v>12</v>
      </c>
      <c r="I3" s="99">
        <v>80</v>
      </c>
      <c r="J3" s="99">
        <v>0</v>
      </c>
      <c r="K3" s="97">
        <v>0</v>
      </c>
      <c r="L3" s="97">
        <v>0</v>
      </c>
      <c r="M3" s="97">
        <f>K3*L3</f>
        <v>0</v>
      </c>
      <c r="N3" s="97">
        <f>M3*C3</f>
        <v>0</v>
      </c>
      <c r="O3" s="97">
        <v>1184000</v>
      </c>
      <c r="P3" s="97">
        <f>O3+N3</f>
        <v>1184000</v>
      </c>
    </row>
    <row r="4" spans="1:17" ht="18.75" x14ac:dyDescent="0.25">
      <c r="A4" s="97" t="s">
        <v>3</v>
      </c>
      <c r="B4" s="97">
        <v>1123200</v>
      </c>
      <c r="C4" s="97">
        <v>16</v>
      </c>
      <c r="D4" s="97">
        <f t="shared" ref="D4:D8" si="0">B4/C4</f>
        <v>70200</v>
      </c>
      <c r="E4" s="97">
        <v>350000</v>
      </c>
      <c r="F4" s="97">
        <f t="shared" ref="F4:F8" si="1">E4/C4</f>
        <v>21875</v>
      </c>
      <c r="G4" s="98">
        <f t="shared" ref="G4:G8" si="2">D4-F4</f>
        <v>48325</v>
      </c>
      <c r="H4" s="97">
        <v>12</v>
      </c>
      <c r="I4" s="97">
        <v>80</v>
      </c>
      <c r="J4" s="97">
        <v>5</v>
      </c>
      <c r="K4" s="97">
        <f>I4*J4</f>
        <v>400</v>
      </c>
      <c r="L4" s="97">
        <v>30</v>
      </c>
      <c r="M4" s="97">
        <f t="shared" ref="M4:M8" si="3">K4*L4</f>
        <v>12000</v>
      </c>
      <c r="N4" s="97">
        <f t="shared" ref="N4:N8" si="4">M4*C4</f>
        <v>192000</v>
      </c>
      <c r="O4" s="97">
        <v>931200</v>
      </c>
      <c r="P4" s="97">
        <f t="shared" ref="P4:P8" si="5">O4+N4</f>
        <v>1123200</v>
      </c>
    </row>
    <row r="5" spans="1:17" ht="18.75" x14ac:dyDescent="0.25">
      <c r="A5" s="97" t="s">
        <v>4</v>
      </c>
      <c r="B5" s="97">
        <v>768000</v>
      </c>
      <c r="C5" s="97">
        <v>16</v>
      </c>
      <c r="D5" s="97">
        <f t="shared" si="0"/>
        <v>48000</v>
      </c>
      <c r="E5" s="97">
        <v>150000</v>
      </c>
      <c r="F5" s="97">
        <f t="shared" si="1"/>
        <v>9375</v>
      </c>
      <c r="G5" s="98">
        <f t="shared" si="2"/>
        <v>38625</v>
      </c>
      <c r="H5" s="97">
        <v>12</v>
      </c>
      <c r="I5" s="97">
        <v>80</v>
      </c>
      <c r="J5" s="97">
        <v>20</v>
      </c>
      <c r="K5" s="97">
        <f t="shared" ref="K5:K8" si="6">I5*J5</f>
        <v>1600</v>
      </c>
      <c r="L5" s="97">
        <v>30</v>
      </c>
      <c r="M5" s="97">
        <f t="shared" si="3"/>
        <v>48000</v>
      </c>
      <c r="N5" s="97">
        <f t="shared" si="4"/>
        <v>768000</v>
      </c>
      <c r="O5" s="97">
        <v>0</v>
      </c>
      <c r="P5" s="97">
        <f t="shared" si="5"/>
        <v>768000</v>
      </c>
    </row>
    <row r="6" spans="1:17" ht="18.75" x14ac:dyDescent="0.25">
      <c r="A6" s="97" t="s">
        <v>5</v>
      </c>
      <c r="B6" s="97">
        <v>960000</v>
      </c>
      <c r="C6" s="97">
        <v>16</v>
      </c>
      <c r="D6" s="97">
        <f t="shared" si="0"/>
        <v>60000</v>
      </c>
      <c r="E6" s="97">
        <v>150000</v>
      </c>
      <c r="F6" s="97">
        <f t="shared" si="1"/>
        <v>9375</v>
      </c>
      <c r="G6" s="98">
        <f t="shared" si="2"/>
        <v>50625</v>
      </c>
      <c r="H6" s="97">
        <v>12</v>
      </c>
      <c r="I6" s="97">
        <v>80</v>
      </c>
      <c r="J6" s="97">
        <v>25</v>
      </c>
      <c r="K6" s="97">
        <f t="shared" si="6"/>
        <v>2000</v>
      </c>
      <c r="L6" s="97">
        <v>30</v>
      </c>
      <c r="M6" s="97">
        <f t="shared" si="3"/>
        <v>60000</v>
      </c>
      <c r="N6" s="97">
        <f t="shared" si="4"/>
        <v>960000</v>
      </c>
      <c r="O6" s="97">
        <v>0</v>
      </c>
      <c r="P6" s="97">
        <f t="shared" si="5"/>
        <v>960000</v>
      </c>
    </row>
    <row r="7" spans="1:17" ht="18.75" x14ac:dyDescent="0.25">
      <c r="A7" s="97" t="s">
        <v>6</v>
      </c>
      <c r="B7" s="97">
        <v>960000</v>
      </c>
      <c r="C7" s="97">
        <v>16</v>
      </c>
      <c r="D7" s="97">
        <f t="shared" si="0"/>
        <v>60000</v>
      </c>
      <c r="E7" s="97">
        <v>150000</v>
      </c>
      <c r="F7" s="97">
        <f t="shared" si="1"/>
        <v>9375</v>
      </c>
      <c r="G7" s="98">
        <f t="shared" si="2"/>
        <v>50625</v>
      </c>
      <c r="H7" s="97">
        <v>12</v>
      </c>
      <c r="I7" s="97">
        <v>80</v>
      </c>
      <c r="J7" s="97">
        <v>25</v>
      </c>
      <c r="K7" s="97">
        <f t="shared" si="6"/>
        <v>2000</v>
      </c>
      <c r="L7" s="97">
        <v>30</v>
      </c>
      <c r="M7" s="97">
        <f t="shared" si="3"/>
        <v>60000</v>
      </c>
      <c r="N7" s="97">
        <f t="shared" si="4"/>
        <v>960000</v>
      </c>
      <c r="O7" s="97">
        <v>0</v>
      </c>
      <c r="P7" s="97">
        <f t="shared" si="5"/>
        <v>960000</v>
      </c>
    </row>
    <row r="8" spans="1:17" ht="18.75" x14ac:dyDescent="0.25">
      <c r="A8" s="97" t="s">
        <v>7</v>
      </c>
      <c r="B8" s="97">
        <v>960000</v>
      </c>
      <c r="C8" s="97">
        <v>16</v>
      </c>
      <c r="D8" s="97">
        <f t="shared" si="0"/>
        <v>60000</v>
      </c>
      <c r="E8" s="97">
        <v>150000</v>
      </c>
      <c r="F8" s="97">
        <f t="shared" si="1"/>
        <v>9375</v>
      </c>
      <c r="G8" s="98">
        <f t="shared" si="2"/>
        <v>50625</v>
      </c>
      <c r="H8" s="97">
        <v>12</v>
      </c>
      <c r="I8" s="97">
        <v>80</v>
      </c>
      <c r="J8" s="97">
        <v>25</v>
      </c>
      <c r="K8" s="97">
        <f t="shared" si="6"/>
        <v>2000</v>
      </c>
      <c r="L8" s="97">
        <v>30</v>
      </c>
      <c r="M8" s="97">
        <f t="shared" si="3"/>
        <v>60000</v>
      </c>
      <c r="N8" s="97">
        <f t="shared" si="4"/>
        <v>960000</v>
      </c>
      <c r="O8" s="97">
        <v>0</v>
      </c>
      <c r="P8" s="97">
        <f t="shared" si="5"/>
        <v>960000</v>
      </c>
    </row>
    <row r="9" spans="1:17" ht="18.75" x14ac:dyDescent="0.25">
      <c r="A9" s="85" t="s">
        <v>0</v>
      </c>
      <c r="B9" s="85">
        <f>SUM(B3:B8)</f>
        <v>5955200</v>
      </c>
      <c r="C9" s="85"/>
      <c r="D9" s="100">
        <f>AVERAGE(D3:D8)</f>
        <v>62033.333333333336</v>
      </c>
      <c r="E9" s="85">
        <f>SUM(E3:E8)</f>
        <v>1300000</v>
      </c>
      <c r="F9" s="100">
        <f>AVERAGE(F3:F8)</f>
        <v>13541.666666666666</v>
      </c>
      <c r="G9" s="101">
        <f>AVERAGE(G3:G8)</f>
        <v>48491.666666666664</v>
      </c>
      <c r="H9" s="85"/>
      <c r="I9" s="85"/>
      <c r="J9" s="85"/>
      <c r="K9" s="85"/>
      <c r="L9" s="85"/>
      <c r="M9" s="97"/>
      <c r="N9" s="102"/>
      <c r="O9" s="103"/>
      <c r="P9" s="85">
        <f>SUM(P3:P8)</f>
        <v>5955200</v>
      </c>
    </row>
    <row r="10" spans="1:17" ht="18.75" x14ac:dyDescent="0.25">
      <c r="H10" s="104"/>
      <c r="I10" s="104"/>
      <c r="J10" s="104"/>
      <c r="K10" s="104"/>
      <c r="L10" s="104"/>
      <c r="M10" s="104"/>
      <c r="N10" s="105"/>
    </row>
    <row r="12" spans="1:17" ht="18.75" x14ac:dyDescent="0.25">
      <c r="D12" s="85" t="s">
        <v>9</v>
      </c>
      <c r="G12" s="106" t="s">
        <v>38</v>
      </c>
      <c r="H12" s="93" t="s">
        <v>91</v>
      </c>
      <c r="I12" s="93"/>
      <c r="J12" s="94"/>
      <c r="K12" s="94"/>
      <c r="L12" s="95"/>
      <c r="M12" s="85"/>
      <c r="N12" s="85"/>
      <c r="O12" s="96"/>
      <c r="P12" s="85"/>
      <c r="Q12" s="85"/>
    </row>
    <row r="13" spans="1:17" ht="18.75" x14ac:dyDescent="0.25">
      <c r="A13" s="85" t="s">
        <v>1</v>
      </c>
      <c r="B13" s="85" t="s">
        <v>27</v>
      </c>
      <c r="C13" s="85" t="s">
        <v>24</v>
      </c>
      <c r="D13" s="85" t="s">
        <v>39</v>
      </c>
      <c r="E13" s="85" t="s">
        <v>41</v>
      </c>
      <c r="F13" s="91" t="s">
        <v>40</v>
      </c>
      <c r="G13" s="107" t="s">
        <v>25</v>
      </c>
      <c r="H13" s="108" t="s">
        <v>126</v>
      </c>
      <c r="I13" s="109" t="s">
        <v>113</v>
      </c>
      <c r="J13" s="109" t="s">
        <v>114</v>
      </c>
      <c r="K13" s="110" t="s">
        <v>46</v>
      </c>
      <c r="L13" s="111" t="s">
        <v>33</v>
      </c>
      <c r="M13" s="111" t="s">
        <v>35</v>
      </c>
      <c r="N13" s="112" t="s">
        <v>12</v>
      </c>
      <c r="O13" s="113" t="s">
        <v>96</v>
      </c>
      <c r="P13" s="111" t="s">
        <v>12</v>
      </c>
      <c r="Q13" s="85"/>
    </row>
    <row r="14" spans="1:17" ht="18.75" x14ac:dyDescent="0.25">
      <c r="A14" s="97" t="s">
        <v>2</v>
      </c>
      <c r="B14" s="97">
        <v>1080000</v>
      </c>
      <c r="C14" s="97">
        <v>24</v>
      </c>
      <c r="D14" s="97">
        <f>B14/C14</f>
        <v>45000</v>
      </c>
      <c r="E14" s="97">
        <v>250000</v>
      </c>
      <c r="F14" s="114">
        <f>E14/C14</f>
        <v>10416.666666666666</v>
      </c>
      <c r="G14" s="115">
        <f>D14-F14</f>
        <v>34583.333333333336</v>
      </c>
      <c r="H14" s="97">
        <v>1</v>
      </c>
      <c r="I14" s="97">
        <v>32</v>
      </c>
      <c r="J14" s="97">
        <v>0</v>
      </c>
      <c r="K14" s="97">
        <f>I14*J14</f>
        <v>0</v>
      </c>
      <c r="L14" s="97">
        <v>0</v>
      </c>
      <c r="M14" s="97">
        <f>L14*K14</f>
        <v>0</v>
      </c>
      <c r="N14" s="97">
        <f>C14*M14</f>
        <v>0</v>
      </c>
      <c r="O14" s="97">
        <v>1080000</v>
      </c>
      <c r="P14" s="97">
        <f>O14+N14</f>
        <v>1080000</v>
      </c>
      <c r="Q14" s="102"/>
    </row>
    <row r="15" spans="1:17" ht="18.75" x14ac:dyDescent="0.25">
      <c r="A15" s="97" t="s">
        <v>3</v>
      </c>
      <c r="B15" s="97">
        <v>1080000</v>
      </c>
      <c r="C15" s="97">
        <v>24</v>
      </c>
      <c r="D15" s="114">
        <f t="shared" ref="D15:D19" si="7">B15/C15</f>
        <v>45000</v>
      </c>
      <c r="E15" s="97">
        <v>250000</v>
      </c>
      <c r="F15" s="114">
        <f t="shared" ref="F15:F19" si="8">E15/C15</f>
        <v>10416.666666666666</v>
      </c>
      <c r="G15" s="114">
        <f t="shared" ref="G15:G20" si="9">D15-F15</f>
        <v>34583.333333333336</v>
      </c>
      <c r="H15" s="97">
        <v>1</v>
      </c>
      <c r="I15" s="97">
        <v>32</v>
      </c>
      <c r="J15" s="97">
        <v>0</v>
      </c>
      <c r="K15" s="97">
        <f t="shared" ref="K15:K19" si="10">I15*J15</f>
        <v>0</v>
      </c>
      <c r="L15" s="97">
        <v>0</v>
      </c>
      <c r="M15" s="97">
        <f t="shared" ref="M15:M19" si="11">L15*K15</f>
        <v>0</v>
      </c>
      <c r="N15" s="97">
        <f t="shared" ref="N15:N19" si="12">C15*M15</f>
        <v>0</v>
      </c>
      <c r="O15" s="97">
        <v>1080000</v>
      </c>
      <c r="P15" s="97">
        <f t="shared" ref="P15:P19" si="13">O15+N15</f>
        <v>1080000</v>
      </c>
      <c r="Q15" s="102"/>
    </row>
    <row r="16" spans="1:17" ht="18.75" x14ac:dyDescent="0.25">
      <c r="A16" s="97" t="s">
        <v>4</v>
      </c>
      <c r="B16" s="97">
        <v>984000</v>
      </c>
      <c r="C16" s="97">
        <v>24</v>
      </c>
      <c r="D16" s="114">
        <f t="shared" si="7"/>
        <v>41000</v>
      </c>
      <c r="E16" s="97">
        <v>250000</v>
      </c>
      <c r="F16" s="114">
        <f t="shared" si="8"/>
        <v>10416.666666666666</v>
      </c>
      <c r="G16" s="114">
        <f t="shared" si="9"/>
        <v>30583.333333333336</v>
      </c>
      <c r="H16" s="97">
        <v>1</v>
      </c>
      <c r="I16" s="97">
        <v>32</v>
      </c>
      <c r="J16" s="97">
        <v>10</v>
      </c>
      <c r="K16" s="97">
        <f t="shared" si="10"/>
        <v>320</v>
      </c>
      <c r="L16" s="97">
        <v>25</v>
      </c>
      <c r="M16" s="97">
        <f t="shared" si="11"/>
        <v>8000</v>
      </c>
      <c r="N16" s="97">
        <f t="shared" si="12"/>
        <v>192000</v>
      </c>
      <c r="O16" s="97">
        <v>792000</v>
      </c>
      <c r="P16" s="97">
        <f t="shared" si="13"/>
        <v>984000</v>
      </c>
      <c r="Q16" s="102"/>
    </row>
    <row r="17" spans="1:17" ht="18.75" x14ac:dyDescent="0.25">
      <c r="A17" s="97" t="s">
        <v>5</v>
      </c>
      <c r="B17" s="97">
        <v>1080000</v>
      </c>
      <c r="C17" s="97">
        <v>24</v>
      </c>
      <c r="D17" s="97">
        <f t="shared" si="7"/>
        <v>45000</v>
      </c>
      <c r="E17" s="97">
        <v>250000</v>
      </c>
      <c r="F17" s="114">
        <f t="shared" si="8"/>
        <v>10416.666666666666</v>
      </c>
      <c r="G17" s="114">
        <f t="shared" si="9"/>
        <v>34583.333333333336</v>
      </c>
      <c r="H17" s="97">
        <v>1</v>
      </c>
      <c r="I17" s="97">
        <v>32</v>
      </c>
      <c r="J17" s="97">
        <v>15</v>
      </c>
      <c r="K17" s="97">
        <f t="shared" si="10"/>
        <v>480</v>
      </c>
      <c r="L17" s="97">
        <v>25</v>
      </c>
      <c r="M17" s="97">
        <f t="shared" si="11"/>
        <v>12000</v>
      </c>
      <c r="N17" s="97">
        <f t="shared" si="12"/>
        <v>288000</v>
      </c>
      <c r="O17" s="116">
        <v>792000</v>
      </c>
      <c r="P17" s="97">
        <f t="shared" si="13"/>
        <v>1080000</v>
      </c>
      <c r="Q17" s="102"/>
    </row>
    <row r="18" spans="1:17" ht="18.75" x14ac:dyDescent="0.25">
      <c r="A18" s="97" t="s">
        <v>6</v>
      </c>
      <c r="B18" s="97">
        <v>1080000</v>
      </c>
      <c r="C18" s="97">
        <v>24</v>
      </c>
      <c r="D18" s="97">
        <f t="shared" si="7"/>
        <v>45000</v>
      </c>
      <c r="E18" s="97">
        <v>250000</v>
      </c>
      <c r="F18" s="114">
        <f t="shared" si="8"/>
        <v>10416.666666666666</v>
      </c>
      <c r="G18" s="114">
        <f t="shared" si="9"/>
        <v>34583.333333333336</v>
      </c>
      <c r="H18" s="97">
        <v>1</v>
      </c>
      <c r="I18" s="97">
        <v>32</v>
      </c>
      <c r="J18" s="97">
        <v>20</v>
      </c>
      <c r="K18" s="97">
        <f t="shared" si="10"/>
        <v>640</v>
      </c>
      <c r="L18" s="97">
        <v>25</v>
      </c>
      <c r="M18" s="97">
        <f t="shared" si="11"/>
        <v>16000</v>
      </c>
      <c r="N18" s="97">
        <f t="shared" si="12"/>
        <v>384000</v>
      </c>
      <c r="O18" s="116">
        <v>696000</v>
      </c>
      <c r="P18" s="97">
        <f t="shared" si="13"/>
        <v>1080000</v>
      </c>
      <c r="Q18" s="102"/>
    </row>
    <row r="19" spans="1:17" ht="18.75" x14ac:dyDescent="0.25">
      <c r="A19" s="97" t="s">
        <v>7</v>
      </c>
      <c r="B19" s="97">
        <v>1080000</v>
      </c>
      <c r="C19" s="97">
        <v>24</v>
      </c>
      <c r="D19" s="97">
        <f t="shared" si="7"/>
        <v>45000</v>
      </c>
      <c r="E19" s="97">
        <v>250000</v>
      </c>
      <c r="F19" s="114">
        <f t="shared" si="8"/>
        <v>10416.666666666666</v>
      </c>
      <c r="G19" s="114">
        <f t="shared" si="9"/>
        <v>34583.333333333336</v>
      </c>
      <c r="H19" s="97">
        <v>1</v>
      </c>
      <c r="I19" s="97">
        <v>32</v>
      </c>
      <c r="J19" s="97">
        <v>25</v>
      </c>
      <c r="K19" s="97">
        <f t="shared" si="10"/>
        <v>800</v>
      </c>
      <c r="L19" s="97">
        <v>25</v>
      </c>
      <c r="M19" s="97">
        <f t="shared" si="11"/>
        <v>20000</v>
      </c>
      <c r="N19" s="97">
        <f t="shared" si="12"/>
        <v>480000</v>
      </c>
      <c r="O19" s="116">
        <v>600000</v>
      </c>
      <c r="P19" s="97">
        <f t="shared" si="13"/>
        <v>1080000</v>
      </c>
      <c r="Q19" s="102"/>
    </row>
    <row r="20" spans="1:17" ht="18.75" x14ac:dyDescent="0.25">
      <c r="A20" s="85" t="s">
        <v>0</v>
      </c>
      <c r="B20" s="85">
        <f>SUM(B14:B19)</f>
        <v>6384000</v>
      </c>
      <c r="C20" s="85"/>
      <c r="D20" s="100">
        <f>AVERAGE(D14:D19)</f>
        <v>44333.333333333336</v>
      </c>
      <c r="E20" s="85">
        <f>SUM(E14:E19)</f>
        <v>1500000</v>
      </c>
      <c r="F20" s="100">
        <f>AVERAGE(F14:F19)</f>
        <v>10416.666666666666</v>
      </c>
      <c r="G20" s="100">
        <f t="shared" si="9"/>
        <v>33916.666666666672</v>
      </c>
      <c r="H20" s="97"/>
      <c r="I20" s="97"/>
      <c r="J20" s="97"/>
      <c r="K20" s="97"/>
      <c r="L20" s="97"/>
      <c r="M20" s="97"/>
      <c r="N20" s="97"/>
      <c r="O20" s="97">
        <f>SUM(O14:O19)</f>
        <v>5040000</v>
      </c>
      <c r="P20" s="111">
        <f>SUM(P14:P19)</f>
        <v>6384000</v>
      </c>
      <c r="Q20" s="102"/>
    </row>
    <row r="22" spans="1:17" ht="18.75" x14ac:dyDescent="0.25">
      <c r="H22" s="106" t="s">
        <v>120</v>
      </c>
    </row>
    <row r="23" spans="1:17" ht="18.75" x14ac:dyDescent="0.25">
      <c r="A23" s="85" t="s">
        <v>1</v>
      </c>
      <c r="B23" s="85" t="s">
        <v>27</v>
      </c>
      <c r="C23" s="85" t="s">
        <v>23</v>
      </c>
      <c r="D23" s="85" t="s">
        <v>39</v>
      </c>
      <c r="E23" s="85" t="s">
        <v>41</v>
      </c>
      <c r="F23" s="91" t="s">
        <v>40</v>
      </c>
      <c r="G23" s="91" t="s">
        <v>25</v>
      </c>
      <c r="H23" s="108" t="s">
        <v>124</v>
      </c>
      <c r="I23" s="112" t="s">
        <v>113</v>
      </c>
      <c r="J23" s="117" t="s">
        <v>114</v>
      </c>
      <c r="K23" s="110" t="s">
        <v>46</v>
      </c>
      <c r="L23" s="111" t="s">
        <v>33</v>
      </c>
      <c r="M23" s="111" t="s">
        <v>35</v>
      </c>
      <c r="N23" s="112" t="s">
        <v>12</v>
      </c>
      <c r="O23" s="113" t="s">
        <v>100</v>
      </c>
      <c r="P23" s="111" t="s">
        <v>12</v>
      </c>
    </row>
    <row r="24" spans="1:17" ht="18.75" x14ac:dyDescent="0.25">
      <c r="A24" s="97" t="s">
        <v>2</v>
      </c>
      <c r="B24" s="97">
        <v>1248000</v>
      </c>
      <c r="C24" s="97">
        <v>24</v>
      </c>
      <c r="D24" s="114">
        <f>B24/C24</f>
        <v>52000</v>
      </c>
      <c r="E24" s="97">
        <v>300000</v>
      </c>
      <c r="F24" s="114">
        <f>E24/C24</f>
        <v>12500</v>
      </c>
      <c r="G24" s="114">
        <f>D24-F24</f>
        <v>39500</v>
      </c>
      <c r="H24" s="97">
        <v>1</v>
      </c>
      <c r="I24" s="97">
        <v>80</v>
      </c>
      <c r="J24" s="97">
        <v>0</v>
      </c>
      <c r="K24" s="97">
        <f>I24*J24</f>
        <v>0</v>
      </c>
      <c r="L24" s="97">
        <v>25</v>
      </c>
      <c r="M24" s="97">
        <f>L24*K24</f>
        <v>0</v>
      </c>
      <c r="N24" s="97">
        <f>M24*C24</f>
        <v>0</v>
      </c>
      <c r="O24" s="97">
        <v>1248000</v>
      </c>
      <c r="P24" s="97">
        <f>N24+O24</f>
        <v>1248000</v>
      </c>
    </row>
    <row r="25" spans="1:17" ht="18.75" x14ac:dyDescent="0.25">
      <c r="A25" s="97" t="s">
        <v>3</v>
      </c>
      <c r="B25" s="97">
        <v>1728000</v>
      </c>
      <c r="C25" s="97">
        <v>24</v>
      </c>
      <c r="D25" s="114">
        <f t="shared" ref="D25:D29" si="14">B25/C25</f>
        <v>72000</v>
      </c>
      <c r="E25" s="97">
        <v>350000</v>
      </c>
      <c r="F25" s="114">
        <f t="shared" ref="F25:F29" si="15">E25/C25</f>
        <v>14583.333333333334</v>
      </c>
      <c r="G25" s="114">
        <f t="shared" ref="G25:G29" si="16">D25-F25</f>
        <v>57416.666666666664</v>
      </c>
      <c r="H25" s="97">
        <v>1</v>
      </c>
      <c r="I25" s="97">
        <v>80</v>
      </c>
      <c r="J25" s="97">
        <v>10</v>
      </c>
      <c r="K25" s="97">
        <f t="shared" ref="K25:K29" si="17">I25*J25</f>
        <v>800</v>
      </c>
      <c r="L25" s="97">
        <v>25</v>
      </c>
      <c r="M25" s="97">
        <f t="shared" ref="M25:M29" si="18">L25*K25</f>
        <v>20000</v>
      </c>
      <c r="N25" s="97">
        <f t="shared" ref="N25:N29" si="19">M25*C25</f>
        <v>480000</v>
      </c>
      <c r="O25" s="97">
        <v>1248000</v>
      </c>
      <c r="P25" s="97">
        <f t="shared" ref="P25:P29" si="20">N25+O25</f>
        <v>1728000</v>
      </c>
    </row>
    <row r="26" spans="1:17" ht="18.75" x14ac:dyDescent="0.25">
      <c r="A26" s="97" t="s">
        <v>4</v>
      </c>
      <c r="B26" s="97">
        <v>1200000</v>
      </c>
      <c r="C26" s="97">
        <v>24</v>
      </c>
      <c r="D26" s="114">
        <f t="shared" si="14"/>
        <v>50000</v>
      </c>
      <c r="E26" s="97">
        <v>200000</v>
      </c>
      <c r="F26" s="114">
        <f t="shared" si="15"/>
        <v>8333.3333333333339</v>
      </c>
      <c r="G26" s="114">
        <f t="shared" si="16"/>
        <v>41666.666666666664</v>
      </c>
      <c r="H26" s="97">
        <v>1</v>
      </c>
      <c r="I26" s="97">
        <v>80</v>
      </c>
      <c r="J26" s="97">
        <v>25</v>
      </c>
      <c r="K26" s="97">
        <f t="shared" si="17"/>
        <v>2000</v>
      </c>
      <c r="L26" s="97">
        <v>25</v>
      </c>
      <c r="M26" s="97">
        <f t="shared" si="18"/>
        <v>50000</v>
      </c>
      <c r="N26" s="97">
        <f t="shared" si="19"/>
        <v>1200000</v>
      </c>
      <c r="O26" s="97"/>
      <c r="P26" s="97">
        <f t="shared" si="20"/>
        <v>1200000</v>
      </c>
    </row>
    <row r="27" spans="1:17" ht="18.75" x14ac:dyDescent="0.25">
      <c r="A27" s="97" t="s">
        <v>5</v>
      </c>
      <c r="B27" s="97">
        <v>1200000</v>
      </c>
      <c r="C27" s="97">
        <v>24</v>
      </c>
      <c r="D27" s="97">
        <f t="shared" si="14"/>
        <v>50000</v>
      </c>
      <c r="E27" s="97">
        <v>200000</v>
      </c>
      <c r="F27" s="114">
        <f t="shared" si="15"/>
        <v>8333.3333333333339</v>
      </c>
      <c r="G27" s="114">
        <f t="shared" si="16"/>
        <v>41666.666666666664</v>
      </c>
      <c r="H27" s="97">
        <v>1</v>
      </c>
      <c r="I27" s="97">
        <v>80</v>
      </c>
      <c r="J27" s="97">
        <v>25</v>
      </c>
      <c r="K27" s="97">
        <f t="shared" si="17"/>
        <v>2000</v>
      </c>
      <c r="L27" s="97">
        <v>25</v>
      </c>
      <c r="M27" s="97">
        <f t="shared" si="18"/>
        <v>50000</v>
      </c>
      <c r="N27" s="97">
        <f t="shared" si="19"/>
        <v>1200000</v>
      </c>
      <c r="O27" s="97"/>
      <c r="P27" s="97">
        <f t="shared" si="20"/>
        <v>1200000</v>
      </c>
    </row>
    <row r="28" spans="1:17" ht="18.75" x14ac:dyDescent="0.25">
      <c r="A28" s="97" t="s">
        <v>6</v>
      </c>
      <c r="B28" s="97">
        <v>1200000</v>
      </c>
      <c r="C28" s="97">
        <v>24</v>
      </c>
      <c r="D28" s="97">
        <f t="shared" si="14"/>
        <v>50000</v>
      </c>
      <c r="E28" s="97">
        <v>200000</v>
      </c>
      <c r="F28" s="114">
        <f t="shared" si="15"/>
        <v>8333.3333333333339</v>
      </c>
      <c r="G28" s="114">
        <f t="shared" si="16"/>
        <v>41666.666666666664</v>
      </c>
      <c r="H28" s="97">
        <v>1</v>
      </c>
      <c r="I28" s="97">
        <v>80</v>
      </c>
      <c r="J28" s="97">
        <v>25</v>
      </c>
      <c r="K28" s="97">
        <f t="shared" si="17"/>
        <v>2000</v>
      </c>
      <c r="L28" s="97">
        <v>25</v>
      </c>
      <c r="M28" s="97">
        <f t="shared" si="18"/>
        <v>50000</v>
      </c>
      <c r="N28" s="97">
        <f t="shared" si="19"/>
        <v>1200000</v>
      </c>
      <c r="O28" s="97"/>
      <c r="P28" s="97">
        <f t="shared" si="20"/>
        <v>1200000</v>
      </c>
    </row>
    <row r="29" spans="1:17" ht="18.75" x14ac:dyDescent="0.25">
      <c r="A29" s="97" t="s">
        <v>7</v>
      </c>
      <c r="B29" s="97">
        <v>1200000</v>
      </c>
      <c r="C29" s="97">
        <v>24</v>
      </c>
      <c r="D29" s="97">
        <f t="shared" si="14"/>
        <v>50000</v>
      </c>
      <c r="E29" s="97">
        <v>200000</v>
      </c>
      <c r="F29" s="114">
        <f t="shared" si="15"/>
        <v>8333.3333333333339</v>
      </c>
      <c r="G29" s="114">
        <f t="shared" si="16"/>
        <v>41666.666666666664</v>
      </c>
      <c r="H29" s="97">
        <v>1</v>
      </c>
      <c r="I29" s="97">
        <v>80</v>
      </c>
      <c r="J29" s="97">
        <v>25</v>
      </c>
      <c r="K29" s="97">
        <f t="shared" si="17"/>
        <v>2000</v>
      </c>
      <c r="L29" s="97">
        <v>25</v>
      </c>
      <c r="M29" s="97">
        <f t="shared" si="18"/>
        <v>50000</v>
      </c>
      <c r="N29" s="97">
        <f t="shared" si="19"/>
        <v>1200000</v>
      </c>
      <c r="O29" s="97"/>
      <c r="P29" s="97">
        <f t="shared" si="20"/>
        <v>1200000</v>
      </c>
    </row>
    <row r="30" spans="1:17" ht="18.75" x14ac:dyDescent="0.25">
      <c r="A30" s="85" t="s">
        <v>0</v>
      </c>
      <c r="B30" s="85">
        <f>SUM(B24:B29)</f>
        <v>7776000</v>
      </c>
      <c r="C30" s="102"/>
      <c r="D30" s="100">
        <f>AVERAGE(D24:D29)</f>
        <v>54000</v>
      </c>
      <c r="E30" s="85">
        <f>SUM(E24:E29)</f>
        <v>1450000</v>
      </c>
      <c r="F30" s="100">
        <f>AVERAGE(F24:F29)</f>
        <v>10069.444444444447</v>
      </c>
      <c r="G30" s="100">
        <f>AVERAGE(G24:G29)</f>
        <v>43930.555555555555</v>
      </c>
      <c r="H30" s="111"/>
      <c r="I30" s="111"/>
      <c r="J30" s="111"/>
      <c r="K30" s="111"/>
      <c r="L30" s="111"/>
      <c r="M30" s="111"/>
      <c r="N30" s="111"/>
      <c r="O30" s="111">
        <f>SUM(O24:O29)</f>
        <v>2496000</v>
      </c>
      <c r="P30" s="111">
        <f>SUM(P24:P29)</f>
        <v>7776000</v>
      </c>
    </row>
    <row r="33" spans="1:16" ht="18.75" x14ac:dyDescent="0.25">
      <c r="D33" s="85" t="s">
        <v>11</v>
      </c>
      <c r="G33" s="106" t="s">
        <v>38</v>
      </c>
      <c r="H33" s="106" t="s">
        <v>121</v>
      </c>
    </row>
    <row r="34" spans="1:16" ht="18.75" x14ac:dyDescent="0.25">
      <c r="A34" s="85" t="s">
        <v>1</v>
      </c>
      <c r="B34" s="85" t="s">
        <v>26</v>
      </c>
      <c r="C34" s="85" t="s">
        <v>23</v>
      </c>
      <c r="D34" s="85" t="s">
        <v>39</v>
      </c>
      <c r="E34" s="85" t="s">
        <v>41</v>
      </c>
      <c r="F34" s="91" t="s">
        <v>40</v>
      </c>
      <c r="G34" s="107" t="s">
        <v>25</v>
      </c>
      <c r="H34" s="108" t="s">
        <v>125</v>
      </c>
      <c r="I34" s="112" t="s">
        <v>113</v>
      </c>
      <c r="J34" s="117" t="s">
        <v>114</v>
      </c>
      <c r="K34" s="110" t="s">
        <v>46</v>
      </c>
      <c r="L34" s="111" t="s">
        <v>33</v>
      </c>
      <c r="M34" s="111" t="s">
        <v>35</v>
      </c>
      <c r="N34" s="112" t="s">
        <v>12</v>
      </c>
      <c r="O34" s="113" t="s">
        <v>116</v>
      </c>
      <c r="P34" s="111" t="s">
        <v>12</v>
      </c>
    </row>
    <row r="35" spans="1:16" ht="18.75" x14ac:dyDescent="0.25">
      <c r="A35" s="97" t="s">
        <v>2</v>
      </c>
      <c r="B35" s="97">
        <v>1350000</v>
      </c>
      <c r="C35" s="97">
        <v>18</v>
      </c>
      <c r="D35" s="114">
        <f>B35/C35</f>
        <v>75000</v>
      </c>
      <c r="E35" s="97">
        <v>400000</v>
      </c>
      <c r="F35" s="114">
        <f>E35/C35</f>
        <v>22222.222222222223</v>
      </c>
      <c r="G35" s="115">
        <f>D35-F35</f>
        <v>52777.777777777781</v>
      </c>
      <c r="H35" s="97">
        <v>1</v>
      </c>
      <c r="I35" s="97">
        <v>32</v>
      </c>
      <c r="J35" s="97">
        <v>0</v>
      </c>
      <c r="K35" s="97">
        <f>I35*J35</f>
        <v>0</v>
      </c>
      <c r="L35" s="97">
        <v>20</v>
      </c>
      <c r="M35" s="97">
        <f>L35*K35</f>
        <v>0</v>
      </c>
      <c r="N35" s="97">
        <f>M35*C35</f>
        <v>0</v>
      </c>
      <c r="O35" s="97">
        <v>1350000</v>
      </c>
      <c r="P35" s="97">
        <f>N35+O35</f>
        <v>1350000</v>
      </c>
    </row>
    <row r="36" spans="1:16" ht="18.75" x14ac:dyDescent="0.25">
      <c r="A36" s="97" t="s">
        <v>3</v>
      </c>
      <c r="B36" s="97">
        <v>1137600</v>
      </c>
      <c r="C36" s="97">
        <v>18</v>
      </c>
      <c r="D36" s="114">
        <f t="shared" ref="D36:D40" si="21">B36/C36</f>
        <v>63200</v>
      </c>
      <c r="E36" s="97">
        <v>300000</v>
      </c>
      <c r="F36" s="114">
        <f t="shared" ref="F36:F40" si="22">E36/C36</f>
        <v>16666.666666666668</v>
      </c>
      <c r="G36" s="114">
        <f t="shared" ref="G36:G40" si="23">D36-F36</f>
        <v>46533.333333333328</v>
      </c>
      <c r="H36" s="97">
        <v>1</v>
      </c>
      <c r="I36" s="97">
        <v>32</v>
      </c>
      <c r="J36" s="97">
        <v>10</v>
      </c>
      <c r="K36" s="97">
        <f t="shared" ref="K36:K40" si="24">I36*J36</f>
        <v>320</v>
      </c>
      <c r="L36" s="97">
        <v>20</v>
      </c>
      <c r="M36" s="97">
        <f t="shared" ref="M36:M40" si="25">L36*K36</f>
        <v>6400</v>
      </c>
      <c r="N36" s="97">
        <f t="shared" ref="N36:N40" si="26">M36*C36</f>
        <v>115200</v>
      </c>
      <c r="O36" s="97">
        <v>1080000</v>
      </c>
      <c r="P36" s="97">
        <f t="shared" ref="P36:P40" si="27">N36+O36</f>
        <v>1195200</v>
      </c>
    </row>
    <row r="37" spans="1:16" ht="18.75" x14ac:dyDescent="0.25">
      <c r="A37" s="97" t="s">
        <v>4</v>
      </c>
      <c r="B37" s="97">
        <v>1040400</v>
      </c>
      <c r="C37" s="97">
        <v>18</v>
      </c>
      <c r="D37" s="114">
        <f t="shared" si="21"/>
        <v>57800</v>
      </c>
      <c r="E37" s="97">
        <v>350000</v>
      </c>
      <c r="F37" s="114">
        <f t="shared" si="22"/>
        <v>19444.444444444445</v>
      </c>
      <c r="G37" s="114">
        <f t="shared" si="23"/>
        <v>38355.555555555555</v>
      </c>
      <c r="H37" s="97">
        <v>1</v>
      </c>
      <c r="I37" s="97">
        <v>32</v>
      </c>
      <c r="J37" s="97">
        <v>20</v>
      </c>
      <c r="K37" s="97">
        <f t="shared" si="24"/>
        <v>640</v>
      </c>
      <c r="L37" s="97">
        <v>20</v>
      </c>
      <c r="M37" s="97">
        <f t="shared" si="25"/>
        <v>12800</v>
      </c>
      <c r="N37" s="97">
        <f t="shared" si="26"/>
        <v>230400</v>
      </c>
      <c r="O37" s="97">
        <v>810000</v>
      </c>
      <c r="P37" s="97">
        <f t="shared" si="27"/>
        <v>1040400</v>
      </c>
    </row>
    <row r="38" spans="1:16" ht="18.75" x14ac:dyDescent="0.25">
      <c r="A38" s="97" t="s">
        <v>5</v>
      </c>
      <c r="B38" s="97">
        <v>1098000</v>
      </c>
      <c r="C38" s="97">
        <v>18</v>
      </c>
      <c r="D38" s="114">
        <f t="shared" si="21"/>
        <v>61000</v>
      </c>
      <c r="E38" s="97">
        <v>300000</v>
      </c>
      <c r="F38" s="114">
        <f t="shared" si="22"/>
        <v>16666.666666666668</v>
      </c>
      <c r="G38" s="114">
        <f t="shared" si="23"/>
        <v>44333.333333333328</v>
      </c>
      <c r="H38" s="97">
        <v>1</v>
      </c>
      <c r="I38" s="97">
        <v>32</v>
      </c>
      <c r="J38" s="97">
        <v>25</v>
      </c>
      <c r="K38" s="97">
        <f t="shared" si="24"/>
        <v>800</v>
      </c>
      <c r="L38" s="97">
        <v>20</v>
      </c>
      <c r="M38" s="97">
        <f t="shared" si="25"/>
        <v>16000</v>
      </c>
      <c r="N38" s="97">
        <f t="shared" si="26"/>
        <v>288000</v>
      </c>
      <c r="O38" s="97">
        <v>810000</v>
      </c>
      <c r="P38" s="97">
        <f t="shared" si="27"/>
        <v>1098000</v>
      </c>
    </row>
    <row r="39" spans="1:16" ht="18.75" x14ac:dyDescent="0.25">
      <c r="A39" s="97" t="s">
        <v>6</v>
      </c>
      <c r="B39" s="97">
        <v>1155600</v>
      </c>
      <c r="C39" s="97">
        <v>18</v>
      </c>
      <c r="D39" s="114">
        <f t="shared" si="21"/>
        <v>64200</v>
      </c>
      <c r="E39" s="97">
        <v>300000</v>
      </c>
      <c r="F39" s="114">
        <f t="shared" si="22"/>
        <v>16666.666666666668</v>
      </c>
      <c r="G39" s="114">
        <f t="shared" si="23"/>
        <v>47533.333333333328</v>
      </c>
      <c r="H39" s="97">
        <v>1</v>
      </c>
      <c r="I39" s="97">
        <v>32</v>
      </c>
      <c r="J39" s="97">
        <v>30</v>
      </c>
      <c r="K39" s="97">
        <f t="shared" si="24"/>
        <v>960</v>
      </c>
      <c r="L39" s="97">
        <v>20</v>
      </c>
      <c r="M39" s="97">
        <f t="shared" si="25"/>
        <v>19200</v>
      </c>
      <c r="N39" s="97">
        <f t="shared" si="26"/>
        <v>345600</v>
      </c>
      <c r="O39" s="97">
        <v>810000</v>
      </c>
      <c r="P39" s="97">
        <f t="shared" si="27"/>
        <v>1155600</v>
      </c>
    </row>
    <row r="40" spans="1:16" ht="18.75" x14ac:dyDescent="0.25">
      <c r="A40" s="97" t="s">
        <v>7</v>
      </c>
      <c r="B40" s="97">
        <v>1000800</v>
      </c>
      <c r="C40" s="97">
        <v>18</v>
      </c>
      <c r="D40" s="114">
        <f t="shared" si="21"/>
        <v>55600</v>
      </c>
      <c r="E40" s="97">
        <v>300000</v>
      </c>
      <c r="F40" s="114">
        <f t="shared" si="22"/>
        <v>16666.666666666668</v>
      </c>
      <c r="G40" s="114">
        <f t="shared" si="23"/>
        <v>38933.333333333328</v>
      </c>
      <c r="H40" s="97">
        <v>1</v>
      </c>
      <c r="I40" s="97">
        <v>32</v>
      </c>
      <c r="J40" s="97">
        <v>40</v>
      </c>
      <c r="K40" s="97">
        <f t="shared" si="24"/>
        <v>1280</v>
      </c>
      <c r="L40" s="97">
        <v>20</v>
      </c>
      <c r="M40" s="97">
        <f t="shared" si="25"/>
        <v>25600</v>
      </c>
      <c r="N40" s="97">
        <f t="shared" si="26"/>
        <v>460800</v>
      </c>
      <c r="O40" s="97">
        <v>540000</v>
      </c>
      <c r="P40" s="97">
        <f t="shared" si="27"/>
        <v>1000800</v>
      </c>
    </row>
    <row r="41" spans="1:16" ht="18.75" x14ac:dyDescent="0.25">
      <c r="A41" s="85" t="s">
        <v>0</v>
      </c>
      <c r="B41" s="85">
        <f>SUM(B35:B40)</f>
        <v>6782400</v>
      </c>
      <c r="C41" s="118"/>
      <c r="D41" s="119">
        <f>AVERAGE(D35:D40)</f>
        <v>62800</v>
      </c>
      <c r="E41" s="111">
        <f>SUM(E35:E40)</f>
        <v>1950000</v>
      </c>
      <c r="F41" s="119">
        <f>AVERAGE(F35:F40)</f>
        <v>18055.555555555558</v>
      </c>
      <c r="G41" s="119">
        <f>AVERAGE(G35:G40)</f>
        <v>44744.444444444438</v>
      </c>
      <c r="H41" s="111"/>
      <c r="I41" s="111"/>
      <c r="J41" s="111"/>
      <c r="K41" s="111"/>
      <c r="L41" s="111"/>
      <c r="M41" s="111"/>
      <c r="N41" s="111"/>
      <c r="O41" s="111">
        <f>SUM(O35:O40)</f>
        <v>5400000</v>
      </c>
      <c r="P41" s="111">
        <f>SUM(P35:P40)</f>
        <v>6840000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Sheet3</vt:lpstr>
      <vt:lpstr>Sheet2</vt:lpstr>
      <vt:lpstr>Sheet4</vt:lpstr>
      <vt:lpstr>Sheet5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2026-07-19T04:34:00Z</dcterms:modified>
</cp:coreProperties>
</file>